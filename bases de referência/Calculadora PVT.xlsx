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gor.Nocetti\Documents\Painel de Comissões\bases de referência\"/>
    </mc:Choice>
  </mc:AlternateContent>
  <xr:revisionPtr revIDLastSave="0" documentId="13_ncr:1_{CBDB50A1-5662-4C18-8A04-60D91C6489F9}" xr6:coauthVersionLast="47" xr6:coauthVersionMax="47" xr10:uidLastSave="{00000000-0000-0000-0000-000000000000}"/>
  <bookViews>
    <workbookView xWindow="-108" yWindow="-108" windowWidth="23256" windowHeight="12456" firstSheet="6" activeTab="6" xr2:uid="{1C9DD0B6-85E6-4692-954A-CCA3F91477CD}"/>
  </bookViews>
  <sheets>
    <sheet name="Calculadora 2025 V1" sheetId="5" state="hidden" r:id="rId1"/>
    <sheet name="Calculadora V2" sheetId="4" state="hidden" r:id="rId2"/>
    <sheet name="Calculadora" sheetId="1" state="hidden" r:id="rId3"/>
    <sheet name="Calculadora 2025 V2" sheetId="6" state="hidden" r:id="rId4"/>
    <sheet name="Calculadora 2025 V2 (2)" sheetId="9" state="hidden" r:id="rId5"/>
    <sheet name="Calculadora 2025 V3" sheetId="7" r:id="rId6"/>
    <sheet name="Calculadora 2026" sheetId="10" r:id="rId7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19" i="10" l="1"/>
  <c r="D4" i="10" s="1"/>
  <c r="K13" i="10"/>
  <c r="T21" i="10"/>
  <c r="G9" i="10" s="1"/>
  <c r="Q21" i="10"/>
  <c r="F9" i="10" s="1"/>
  <c r="N21" i="10"/>
  <c r="E9" i="10" s="1"/>
  <c r="K21" i="10"/>
  <c r="D9" i="10" s="1"/>
  <c r="T19" i="10"/>
  <c r="G4" i="10" s="1"/>
  <c r="Q19" i="10"/>
  <c r="F4" i="10" s="1"/>
  <c r="N19" i="10"/>
  <c r="E4" i="10" s="1"/>
  <c r="G26" i="10"/>
  <c r="G27" i="10" s="1"/>
  <c r="F26" i="10"/>
  <c r="F27" i="10" s="1"/>
  <c r="E26" i="10"/>
  <c r="E27" i="10" s="1"/>
  <c r="D26" i="10"/>
  <c r="D27" i="10" s="1"/>
  <c r="T10" i="10"/>
  <c r="G8" i="10" s="1"/>
  <c r="Q10" i="10"/>
  <c r="F8" i="10" s="1"/>
  <c r="N10" i="10"/>
  <c r="E8" i="10" s="1"/>
  <c r="K10" i="10"/>
  <c r="D8" i="10" s="1"/>
  <c r="T8" i="10"/>
  <c r="G3" i="10" s="1"/>
  <c r="Q8" i="10"/>
  <c r="F3" i="10" s="1"/>
  <c r="N8" i="10"/>
  <c r="E3" i="10" s="1"/>
  <c r="K8" i="10"/>
  <c r="D3" i="10" s="1"/>
  <c r="L2" i="10"/>
  <c r="G9" i="7"/>
  <c r="G4" i="7"/>
  <c r="O13" i="9"/>
  <c r="D14" i="9"/>
  <c r="D14" i="6"/>
  <c r="E14" i="6"/>
  <c r="D26" i="9"/>
  <c r="E26" i="9"/>
  <c r="F26" i="9"/>
  <c r="G26" i="9"/>
  <c r="D27" i="9"/>
  <c r="E27" i="9"/>
  <c r="F27" i="9"/>
  <c r="G27" i="9"/>
  <c r="K2" i="9"/>
  <c r="L2" i="9"/>
  <c r="M2" i="9"/>
  <c r="N2" i="9"/>
  <c r="O2" i="9"/>
  <c r="P2" i="9"/>
  <c r="Q2" i="9"/>
  <c r="R2" i="9"/>
  <c r="S2" i="9"/>
  <c r="T2" i="9"/>
  <c r="U2" i="9"/>
  <c r="D5" i="9"/>
  <c r="L9" i="9"/>
  <c r="O9" i="9"/>
  <c r="E3" i="9" s="1"/>
  <c r="E5" i="9" s="1"/>
  <c r="R9" i="9"/>
  <c r="F3" i="9" s="1"/>
  <c r="F5" i="9" s="1"/>
  <c r="U9" i="9"/>
  <c r="G3" i="9" s="1"/>
  <c r="G5" i="9" s="1"/>
  <c r="D10" i="9"/>
  <c r="L11" i="9"/>
  <c r="O11" i="9"/>
  <c r="E8" i="9" s="1"/>
  <c r="E10" i="9" s="1"/>
  <c r="R11" i="9"/>
  <c r="F8" i="9" s="1"/>
  <c r="F10" i="9" s="1"/>
  <c r="U11" i="9"/>
  <c r="G8" i="9" s="1"/>
  <c r="G10" i="9" s="1"/>
  <c r="G26" i="7"/>
  <c r="G27" i="7" s="1"/>
  <c r="F26" i="7"/>
  <c r="F27" i="7" s="1"/>
  <c r="E26" i="7"/>
  <c r="E27" i="7" s="1"/>
  <c r="D26" i="7"/>
  <c r="D27" i="7" s="1"/>
  <c r="U11" i="7"/>
  <c r="G8" i="7" s="1"/>
  <c r="R11" i="7"/>
  <c r="F8" i="7" s="1"/>
  <c r="O11" i="7"/>
  <c r="L11" i="7"/>
  <c r="D10" i="7"/>
  <c r="U9" i="7"/>
  <c r="G3" i="7" s="1"/>
  <c r="R9" i="7"/>
  <c r="F3" i="7" s="1"/>
  <c r="O9" i="7"/>
  <c r="L9" i="7"/>
  <c r="G10" i="7"/>
  <c r="F10" i="7"/>
  <c r="E10" i="7"/>
  <c r="D5" i="7"/>
  <c r="G5" i="7"/>
  <c r="G17" i="7" s="1"/>
  <c r="F5" i="7"/>
  <c r="F17" i="7" s="1"/>
  <c r="E5" i="7"/>
  <c r="K2" i="7"/>
  <c r="L2" i="7" s="1"/>
  <c r="M2" i="7" s="1"/>
  <c r="N2" i="7" s="1"/>
  <c r="O2" i="7" s="1"/>
  <c r="P2" i="7" s="1"/>
  <c r="Q2" i="7" s="1"/>
  <c r="R2" i="7" s="1"/>
  <c r="S2" i="7" s="1"/>
  <c r="T2" i="7" s="1"/>
  <c r="U2" i="7" s="1"/>
  <c r="G26" i="6"/>
  <c r="G27" i="6" s="1"/>
  <c r="F26" i="6"/>
  <c r="F27" i="6" s="1"/>
  <c r="E26" i="6"/>
  <c r="E27" i="6" s="1"/>
  <c r="D26" i="6"/>
  <c r="D27" i="6" s="1"/>
  <c r="U11" i="6"/>
  <c r="R11" i="6"/>
  <c r="O11" i="6"/>
  <c r="L11" i="6"/>
  <c r="U9" i="6"/>
  <c r="R9" i="6"/>
  <c r="O9" i="6"/>
  <c r="E3" i="6" s="1"/>
  <c r="L9" i="6"/>
  <c r="G8" i="6"/>
  <c r="G10" i="6" s="1"/>
  <c r="F8" i="6"/>
  <c r="F10" i="6" s="1"/>
  <c r="E8" i="6"/>
  <c r="E10" i="6" s="1"/>
  <c r="D10" i="6"/>
  <c r="G3" i="6"/>
  <c r="G5" i="6" s="1"/>
  <c r="G17" i="6" s="1"/>
  <c r="F3" i="6"/>
  <c r="F5" i="6" s="1"/>
  <c r="F17" i="6" s="1"/>
  <c r="E5" i="6"/>
  <c r="D5" i="6"/>
  <c r="K2" i="6"/>
  <c r="L2" i="6" s="1"/>
  <c r="M2" i="6" s="1"/>
  <c r="N2" i="6" s="1"/>
  <c r="O2" i="6" s="1"/>
  <c r="P2" i="6" s="1"/>
  <c r="Q2" i="6" s="1"/>
  <c r="R2" i="6" s="1"/>
  <c r="S2" i="6" s="1"/>
  <c r="T2" i="6" s="1"/>
  <c r="U2" i="6" s="1"/>
  <c r="E3" i="5"/>
  <c r="G8" i="5"/>
  <c r="F8" i="5"/>
  <c r="E8" i="5"/>
  <c r="D8" i="5"/>
  <c r="L11" i="5"/>
  <c r="U11" i="5"/>
  <c r="U9" i="5"/>
  <c r="G3" i="5" s="1"/>
  <c r="D26" i="5"/>
  <c r="D27" i="5" s="1"/>
  <c r="D10" i="5"/>
  <c r="K2" i="5"/>
  <c r="L2" i="5" s="1"/>
  <c r="M2" i="5" s="1"/>
  <c r="N2" i="5" s="1"/>
  <c r="O2" i="5" s="1"/>
  <c r="P2" i="5" s="1"/>
  <c r="Q2" i="5" s="1"/>
  <c r="R2" i="5" s="1"/>
  <c r="S2" i="5" s="1"/>
  <c r="T2" i="5" s="1"/>
  <c r="U2" i="5" s="1"/>
  <c r="G26" i="5"/>
  <c r="G27" i="5" s="1"/>
  <c r="F26" i="5"/>
  <c r="F27" i="5" s="1"/>
  <c r="E26" i="5"/>
  <c r="E27" i="5" s="1"/>
  <c r="R11" i="5"/>
  <c r="O11" i="5"/>
  <c r="R9" i="5"/>
  <c r="F3" i="5" s="1"/>
  <c r="O9" i="5"/>
  <c r="L9" i="5"/>
  <c r="D3" i="5" s="1"/>
  <c r="D5" i="5" s="1"/>
  <c r="E10" i="5"/>
  <c r="G10" i="5"/>
  <c r="F10" i="5"/>
  <c r="G5" i="5"/>
  <c r="G17" i="5" s="1"/>
  <c r="F5" i="5"/>
  <c r="F17" i="5" s="1"/>
  <c r="E5" i="5"/>
  <c r="Q10" i="4"/>
  <c r="N10" i="4"/>
  <c r="D10" i="4"/>
  <c r="Q12" i="4"/>
  <c r="F8" i="4" s="1"/>
  <c r="F10" i="4" s="1"/>
  <c r="N12" i="4"/>
  <c r="E8" i="4" s="1"/>
  <c r="E10" i="4" s="1"/>
  <c r="F3" i="4"/>
  <c r="F5" i="4" s="1"/>
  <c r="E3" i="4"/>
  <c r="E5" i="4" s="1"/>
  <c r="K10" i="4"/>
  <c r="D3" i="4" s="1"/>
  <c r="D5" i="4" s="1"/>
  <c r="D17" i="4" s="1"/>
  <c r="F26" i="4"/>
  <c r="F27" i="4" s="1"/>
  <c r="E26" i="4"/>
  <c r="E27" i="4" s="1"/>
  <c r="D26" i="4"/>
  <c r="D27" i="4" s="1"/>
  <c r="D22" i="1"/>
  <c r="Q6" i="1"/>
  <c r="P6" i="1"/>
  <c r="O6" i="1"/>
  <c r="Q7" i="1" s="1"/>
  <c r="N6" i="1"/>
  <c r="M6" i="1"/>
  <c r="L6" i="1"/>
  <c r="N7" i="1" s="1"/>
  <c r="K6" i="1"/>
  <c r="J6" i="1"/>
  <c r="I6" i="1"/>
  <c r="K7" i="1" s="1"/>
  <c r="F3" i="1"/>
  <c r="E3" i="1"/>
  <c r="D3" i="1"/>
  <c r="E21" i="1"/>
  <c r="E22" i="1" s="1"/>
  <c r="D21" i="1"/>
  <c r="F21" i="1"/>
  <c r="F22" i="1" s="1"/>
  <c r="D5" i="1"/>
  <c r="D9" i="1" s="1"/>
  <c r="E5" i="1"/>
  <c r="E9" i="1" s="1"/>
  <c r="F5" i="1"/>
  <c r="F9" i="1" s="1"/>
  <c r="F10" i="10" l="1"/>
  <c r="D10" i="10"/>
  <c r="E5" i="10"/>
  <c r="D5" i="10"/>
  <c r="E10" i="10"/>
  <c r="E17" i="10" s="1"/>
  <c r="F5" i="10"/>
  <c r="M2" i="10"/>
  <c r="L13" i="10"/>
  <c r="G5" i="10"/>
  <c r="G10" i="10"/>
  <c r="G17" i="9"/>
  <c r="F17" i="9"/>
  <c r="E17" i="9"/>
  <c r="E14" i="9" s="1"/>
  <c r="E15" i="9"/>
  <c r="E18" i="9" s="1"/>
  <c r="E20" i="9" s="1"/>
  <c r="E22" i="9" s="1"/>
  <c r="D17" i="9"/>
  <c r="D18" i="9"/>
  <c r="D20" i="9" s="1"/>
  <c r="D22" i="9" s="1"/>
  <c r="D15" i="9"/>
  <c r="E17" i="7"/>
  <c r="E14" i="7" s="1"/>
  <c r="E15" i="7"/>
  <c r="F14" i="7"/>
  <c r="F15" i="7" s="1"/>
  <c r="F18" i="7" s="1"/>
  <c r="F20" i="7" s="1"/>
  <c r="F22" i="7" s="1"/>
  <c r="G14" i="7"/>
  <c r="G15" i="7" s="1"/>
  <c r="G18" i="7" s="1"/>
  <c r="G20" i="7" s="1"/>
  <c r="G22" i="7" s="1"/>
  <c r="D18" i="7"/>
  <c r="D20" i="7" s="1"/>
  <c r="D22" i="7" s="1"/>
  <c r="D17" i="7"/>
  <c r="D14" i="7" s="1"/>
  <c r="D15" i="7"/>
  <c r="D17" i="6"/>
  <c r="D15" i="6"/>
  <c r="E17" i="6"/>
  <c r="E15" i="6"/>
  <c r="F18" i="6"/>
  <c r="F20" i="6" s="1"/>
  <c r="F22" i="6" s="1"/>
  <c r="F14" i="6"/>
  <c r="F15" i="6" s="1"/>
  <c r="G18" i="6"/>
  <c r="G20" i="6" s="1"/>
  <c r="G22" i="6" s="1"/>
  <c r="G14" i="6"/>
  <c r="G15" i="6" s="1"/>
  <c r="D17" i="5"/>
  <c r="D14" i="5"/>
  <c r="D15" i="5" s="1"/>
  <c r="E17" i="5"/>
  <c r="E14" i="5"/>
  <c r="E15" i="5" s="1"/>
  <c r="F14" i="5"/>
  <c r="F15" i="5" s="1"/>
  <c r="F18" i="5" s="1"/>
  <c r="F20" i="5" s="1"/>
  <c r="F22" i="5" s="1"/>
  <c r="G14" i="5"/>
  <c r="G15" i="5" s="1"/>
  <c r="G18" i="5" s="1"/>
  <c r="G20" i="5" s="1"/>
  <c r="G22" i="5" s="1"/>
  <c r="F17" i="4"/>
  <c r="E17" i="4"/>
  <c r="D14" i="4"/>
  <c r="D15" i="4" s="1"/>
  <c r="D10" i="1"/>
  <c r="F10" i="1"/>
  <c r="F12" i="1"/>
  <c r="E10" i="1"/>
  <c r="E12" i="1"/>
  <c r="D12" i="1"/>
  <c r="F17" i="10" l="1"/>
  <c r="F14" i="10" s="1"/>
  <c r="F15" i="10" s="1"/>
  <c r="F18" i="10" s="1"/>
  <c r="F20" i="10" s="1"/>
  <c r="F22" i="10" s="1"/>
  <c r="D17" i="10"/>
  <c r="D14" i="10"/>
  <c r="D15" i="10" s="1"/>
  <c r="D18" i="10"/>
  <c r="D20" i="10" s="1"/>
  <c r="D22" i="10" s="1"/>
  <c r="N2" i="10"/>
  <c r="M13" i="10"/>
  <c r="E14" i="10"/>
  <c r="E15" i="10" s="1"/>
  <c r="E18" i="10"/>
  <c r="E20" i="10" s="1"/>
  <c r="E22" i="10" s="1"/>
  <c r="G17" i="10"/>
  <c r="F18" i="9"/>
  <c r="F20" i="9" s="1"/>
  <c r="F22" i="9" s="1"/>
  <c r="F14" i="9"/>
  <c r="F15" i="9" s="1"/>
  <c r="G18" i="9"/>
  <c r="G20" i="9" s="1"/>
  <c r="G22" i="9" s="1"/>
  <c r="G14" i="9"/>
  <c r="G15" i="9" s="1"/>
  <c r="E18" i="7"/>
  <c r="E20" i="7" s="1"/>
  <c r="E22" i="7" s="1"/>
  <c r="E18" i="6"/>
  <c r="E20" i="6" s="1"/>
  <c r="E22" i="6" s="1"/>
  <c r="D18" i="6"/>
  <c r="D20" i="6" s="1"/>
  <c r="D22" i="6" s="1"/>
  <c r="D18" i="5"/>
  <c r="D20" i="5" s="1"/>
  <c r="D22" i="5" s="1"/>
  <c r="E18" i="5"/>
  <c r="E20" i="5" s="1"/>
  <c r="E22" i="5" s="1"/>
  <c r="F14" i="4"/>
  <c r="F15" i="4" s="1"/>
  <c r="F18" i="4" s="1"/>
  <c r="F20" i="4" s="1"/>
  <c r="F22" i="4" s="1"/>
  <c r="E14" i="4"/>
  <c r="E15" i="4" s="1"/>
  <c r="E18" i="4"/>
  <c r="D18" i="4"/>
  <c r="D20" i="4" s="1"/>
  <c r="D22" i="4" s="1"/>
  <c r="D13" i="1"/>
  <c r="D15" i="1" s="1"/>
  <c r="D17" i="1" s="1"/>
  <c r="E13" i="1"/>
  <c r="E15" i="1" s="1"/>
  <c r="E17" i="1" s="1"/>
  <c r="F13" i="1"/>
  <c r="F15" i="1" s="1"/>
  <c r="F17" i="1" s="1"/>
  <c r="O2" i="10" l="1"/>
  <c r="N13" i="10"/>
  <c r="G14" i="10"/>
  <c r="G15" i="10" s="1"/>
  <c r="G18" i="10" s="1"/>
  <c r="G20" i="10" s="1"/>
  <c r="G22" i="10" s="1"/>
  <c r="E20" i="4"/>
  <c r="E22" i="4" s="1"/>
  <c r="P2" i="10" l="1"/>
  <c r="O13" i="10"/>
  <c r="Q2" i="10" l="1"/>
  <c r="P13" i="10"/>
  <c r="R2" i="10" l="1"/>
  <c r="Q13" i="10"/>
  <c r="S2" i="10" l="1"/>
  <c r="R13" i="10"/>
  <c r="T2" i="10" l="1"/>
  <c r="S13" i="10"/>
  <c r="U2" i="10" l="1"/>
  <c r="T13" i="10"/>
  <c r="V2" i="10" l="1"/>
  <c r="V13" i="10" s="1"/>
  <c r="U13" i="10"/>
</calcChain>
</file>

<file path=xl/sharedStrings.xml><?xml version="1.0" encoding="utf-8"?>
<sst xmlns="http://schemas.openxmlformats.org/spreadsheetml/2006/main" count="387" uniqueCount="64">
  <si>
    <t>Q1</t>
  </si>
  <si>
    <t>Q2</t>
  </si>
  <si>
    <t>Q3</t>
  </si>
  <si>
    <t>Q4</t>
  </si>
  <si>
    <t>OTE</t>
  </si>
  <si>
    <t>Meta MRR</t>
  </si>
  <si>
    <t>B2B ESC</t>
  </si>
  <si>
    <t>Realizado MRR</t>
  </si>
  <si>
    <t>FARMER</t>
  </si>
  <si>
    <t>Realizado %</t>
  </si>
  <si>
    <t>ARES</t>
  </si>
  <si>
    <t>Ponderação Meta 1</t>
  </si>
  <si>
    <t>B2B VISUS</t>
  </si>
  <si>
    <t>B2E</t>
  </si>
  <si>
    <t>Meta OTR</t>
  </si>
  <si>
    <t>B2G</t>
  </si>
  <si>
    <t>Realizado OTR</t>
  </si>
  <si>
    <t>Ponderação Meta 2</t>
  </si>
  <si>
    <t>OTE Variável Base</t>
  </si>
  <si>
    <t>Acelerador (Múltiplo OTE)</t>
  </si>
  <si>
    <t>OTE Variável Ajustado</t>
  </si>
  <si>
    <t>TOTAL Atingimento Resultado</t>
  </si>
  <si>
    <t>OTE Variável Real</t>
  </si>
  <si>
    <t>Comissão Total</t>
  </si>
  <si>
    <t>Fixo</t>
  </si>
  <si>
    <t>Salário + Comissão</t>
  </si>
  <si>
    <t>PREMIAÇÃO TRIMESTRAL</t>
  </si>
  <si>
    <t>Meta Trimestral MRR Empresa</t>
  </si>
  <si>
    <t>Resultado Trimestral MRR Empresa</t>
  </si>
  <si>
    <t>Atingimento Resultado Empresa</t>
  </si>
  <si>
    <t>Prêmio Trimestral AltoQi</t>
  </si>
  <si>
    <t>Quadro de Parâmetros</t>
  </si>
  <si>
    <t>Cliff Geral</t>
  </si>
  <si>
    <t>percentual mínimo de atiginmento de NARR para receber qualquer valor de comissão e/ou premiação</t>
  </si>
  <si>
    <t>Múltiplo 1,15 (acima de)</t>
  </si>
  <si>
    <t>mínimo de atingimento de NARR para múltiplo do OTE-base</t>
  </si>
  <si>
    <t>Múltiplo 1,25 (acima de)</t>
  </si>
  <si>
    <t>Offset Churn</t>
  </si>
  <si>
    <t>n/a</t>
  </si>
  <si>
    <t>acréscimo da meta devido aos churns em até x meses</t>
  </si>
  <si>
    <t>Prêmio Campanha Empresa</t>
  </si>
  <si>
    <t>múltilpo de salário fixo se empresa bater 100% da meta de ARR, poderado pelo % de atingimento individual</t>
  </si>
  <si>
    <t>Cliff Trimestral</t>
  </si>
  <si>
    <t>percentual mínimo de atingimento trimestral de NARR para as premiações trimestrais Individual, Equipe e Empresa</t>
  </si>
  <si>
    <t>Meta ARR</t>
  </si>
  <si>
    <t>B2B ENG</t>
  </si>
  <si>
    <t>Realizado ARR</t>
  </si>
  <si>
    <t>GOV</t>
  </si>
  <si>
    <t>TOTAL</t>
  </si>
  <si>
    <t>Meta NMRR</t>
  </si>
  <si>
    <t>Realizado NMRR</t>
  </si>
  <si>
    <t>Dezembro</t>
  </si>
  <si>
    <t>Novembro</t>
  </si>
  <si>
    <t>Outubro</t>
  </si>
  <si>
    <t>Ares</t>
  </si>
  <si>
    <t>B2B Construtora</t>
  </si>
  <si>
    <t>B2B Escritório</t>
  </si>
  <si>
    <t>Farmer</t>
  </si>
  <si>
    <t>Ensino</t>
  </si>
  <si>
    <t>IES</t>
  </si>
  <si>
    <t>METAS</t>
  </si>
  <si>
    <t>CONSTRUTORAS</t>
  </si>
  <si>
    <t>ESCRITÓRIOS</t>
  </si>
  <si>
    <t>REALIZADO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</si>
</sst>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[$-416]mmm\-yy;@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i/>
      <sz val="10"/>
      <color rgb="FF00000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i/>
      <sz val="9"/>
      <color rgb="FF00000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u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b/>
      <i/>
      <sz val="11"/>
      <color rgb="FFFF0000"/>
      <name val="Calibri"/>
      <family val="2"/>
      <scheme val="minor"/>
    </font>
    <font>
      <i/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20"/>
      <color theme="1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F2F2F2"/>
        <bgColor rgb="FF000000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44">
    <border>
      <left/>
      <right/>
      <top/>
      <bottom/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dotted">
        <color rgb="FF000000"/>
      </right>
      <top style="medium">
        <color indexed="64"/>
      </top>
      <bottom style="dotted">
        <color rgb="FF000000"/>
      </bottom>
      <diagonal/>
    </border>
    <border>
      <left/>
      <right style="dotted">
        <color rgb="FF000000"/>
      </right>
      <top style="dotted">
        <color rgb="FF000000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thin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dotted">
        <color rgb="FF000000"/>
      </right>
      <top style="thin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thin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dotted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dotted">
        <color rgb="FF000000"/>
      </bottom>
      <diagonal/>
    </border>
    <border>
      <left style="thin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dotted">
        <color rgb="FF000000"/>
      </right>
      <top style="dotted">
        <color rgb="FF000000"/>
      </top>
      <bottom style="thin">
        <color rgb="FF000000"/>
      </bottom>
      <diagonal/>
    </border>
    <border>
      <left style="dotted">
        <color rgb="FF000000"/>
      </left>
      <right style="thin">
        <color rgb="FF000000"/>
      </right>
      <top style="dotted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dotted">
        <color rgb="FF000000"/>
      </right>
      <top style="medium">
        <color rgb="FF000000"/>
      </top>
      <bottom style="dotted">
        <color rgb="FF000000"/>
      </bottom>
      <diagonal/>
    </border>
    <border>
      <left style="medium">
        <color rgb="FF000000"/>
      </left>
      <right style="dotted">
        <color rgb="FF000000"/>
      </right>
      <top style="dotted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162">
    <xf numFmtId="0" fontId="0" fillId="0" borderId="0" xfId="0"/>
    <xf numFmtId="0" fontId="0" fillId="0" borderId="0" xfId="0" applyAlignment="1">
      <alignment horizontal="center"/>
    </xf>
    <xf numFmtId="164" fontId="0" fillId="2" borderId="0" xfId="1" applyNumberFormat="1" applyFont="1" applyFill="1" applyBorder="1" applyAlignment="1" applyProtection="1">
      <alignment horizontal="center"/>
      <protection locked="0"/>
    </xf>
    <xf numFmtId="164" fontId="0" fillId="2" borderId="5" xfId="1" applyNumberFormat="1" applyFont="1" applyFill="1" applyBorder="1" applyAlignment="1" applyProtection="1">
      <alignment horizontal="center"/>
      <protection locked="0"/>
    </xf>
    <xf numFmtId="164" fontId="0" fillId="0" borderId="3" xfId="1" applyNumberFormat="1" applyFont="1" applyBorder="1" applyAlignment="1" applyProtection="1">
      <alignment horizontal="center"/>
    </xf>
    <xf numFmtId="164" fontId="0" fillId="0" borderId="4" xfId="1" applyNumberFormat="1" applyFont="1" applyBorder="1" applyAlignment="1" applyProtection="1">
      <alignment horizontal="center"/>
    </xf>
    <xf numFmtId="10" fontId="0" fillId="0" borderId="0" xfId="2" applyNumberFormat="1" applyFont="1" applyBorder="1" applyAlignment="1" applyProtection="1">
      <alignment horizontal="center"/>
    </xf>
    <xf numFmtId="10" fontId="0" fillId="0" borderId="5" xfId="2" applyNumberFormat="1" applyFont="1" applyBorder="1" applyAlignment="1" applyProtection="1">
      <alignment horizontal="center"/>
    </xf>
    <xf numFmtId="2" fontId="0" fillId="0" borderId="0" xfId="2" applyNumberFormat="1" applyFont="1" applyBorder="1" applyAlignment="1" applyProtection="1">
      <alignment horizontal="center"/>
    </xf>
    <xf numFmtId="2" fontId="0" fillId="0" borderId="5" xfId="2" applyNumberFormat="1" applyFont="1" applyBorder="1" applyAlignment="1" applyProtection="1">
      <alignment horizontal="center"/>
    </xf>
    <xf numFmtId="164" fontId="0" fillId="0" borderId="6" xfId="1" applyNumberFormat="1" applyFont="1" applyBorder="1" applyAlignment="1" applyProtection="1">
      <alignment horizontal="center"/>
    </xf>
    <xf numFmtId="164" fontId="0" fillId="0" borderId="7" xfId="1" applyNumberFormat="1" applyFont="1" applyBorder="1" applyAlignment="1" applyProtection="1">
      <alignment horizontal="center"/>
    </xf>
    <xf numFmtId="10" fontId="0" fillId="0" borderId="3" xfId="2" applyNumberFormat="1" applyFont="1" applyBorder="1" applyAlignment="1" applyProtection="1">
      <alignment horizontal="center"/>
    </xf>
    <xf numFmtId="10" fontId="0" fillId="0" borderId="4" xfId="2" applyNumberFormat="1" applyFont="1" applyBorder="1" applyAlignment="1" applyProtection="1">
      <alignment horizontal="center"/>
    </xf>
    <xf numFmtId="164" fontId="11" fillId="0" borderId="6" xfId="1" applyNumberFormat="1" applyFont="1" applyBorder="1" applyAlignment="1" applyProtection="1">
      <alignment horizontal="center"/>
    </xf>
    <xf numFmtId="164" fontId="11" fillId="0" borderId="7" xfId="1" applyNumberFormat="1" applyFont="1" applyBorder="1" applyAlignment="1" applyProtection="1">
      <alignment horizontal="center"/>
    </xf>
    <xf numFmtId="164" fontId="0" fillId="2" borderId="3" xfId="1" applyNumberFormat="1" applyFont="1" applyFill="1" applyBorder="1" applyAlignment="1" applyProtection="1">
      <alignment horizontal="center"/>
      <protection locked="0"/>
    </xf>
    <xf numFmtId="164" fontId="0" fillId="2" borderId="4" xfId="1" applyNumberFormat="1" applyFont="1" applyFill="1" applyBorder="1" applyAlignment="1" applyProtection="1">
      <alignment horizontal="center"/>
      <protection locked="0"/>
    </xf>
    <xf numFmtId="0" fontId="2" fillId="0" borderId="0" xfId="0" applyFont="1"/>
    <xf numFmtId="17" fontId="3" fillId="0" borderId="0" xfId="0" applyNumberFormat="1" applyFont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9" fontId="0" fillId="0" borderId="6" xfId="0" applyNumberFormat="1" applyBorder="1" applyAlignment="1">
      <alignment horizontal="center"/>
    </xf>
    <xf numFmtId="9" fontId="0" fillId="0" borderId="7" xfId="0" applyNumberFormat="1" applyBorder="1" applyAlignment="1">
      <alignment horizontal="center"/>
    </xf>
    <xf numFmtId="0" fontId="5" fillId="0" borderId="0" xfId="0" applyFont="1" applyAlignment="1">
      <alignment horizontal="center" vertical="center"/>
    </xf>
    <xf numFmtId="0" fontId="0" fillId="0" borderId="5" xfId="0" applyBorder="1" applyAlignment="1">
      <alignment horizontal="center"/>
    </xf>
    <xf numFmtId="0" fontId="3" fillId="0" borderId="12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8" fillId="3" borderId="1" xfId="0" applyFont="1" applyFill="1" applyBorder="1" applyAlignment="1">
      <alignment horizontal="center" vertical="center"/>
    </xf>
    <xf numFmtId="9" fontId="8" fillId="3" borderId="1" xfId="0" applyNumberFormat="1" applyFont="1" applyFill="1" applyBorder="1" applyAlignment="1">
      <alignment horizontal="center" vertical="center"/>
    </xf>
    <xf numFmtId="164" fontId="11" fillId="0" borderId="0" xfId="0" applyNumberFormat="1" applyFont="1" applyAlignment="1">
      <alignment horizontal="center"/>
    </xf>
    <xf numFmtId="164" fontId="0" fillId="2" borderId="3" xfId="3" applyNumberFormat="1" applyFont="1" applyFill="1" applyBorder="1" applyAlignment="1" applyProtection="1">
      <alignment horizontal="center"/>
      <protection locked="0"/>
    </xf>
    <xf numFmtId="164" fontId="0" fillId="2" borderId="4" xfId="3" applyNumberFormat="1" applyFont="1" applyFill="1" applyBorder="1" applyAlignment="1" applyProtection="1">
      <alignment horizontal="center"/>
      <protection locked="0"/>
    </xf>
    <xf numFmtId="164" fontId="0" fillId="2" borderId="0" xfId="3" applyNumberFormat="1" applyFont="1" applyFill="1" applyBorder="1" applyAlignment="1" applyProtection="1">
      <alignment horizontal="center"/>
      <protection locked="0"/>
    </xf>
    <xf numFmtId="164" fontId="0" fillId="2" borderId="5" xfId="3" applyNumberFormat="1" applyFont="1" applyFill="1" applyBorder="1" applyAlignment="1" applyProtection="1">
      <alignment horizontal="center"/>
      <protection locked="0"/>
    </xf>
    <xf numFmtId="0" fontId="3" fillId="0" borderId="16" xfId="0" applyFont="1" applyBorder="1" applyAlignment="1">
      <alignment horizontal="center" vertical="center"/>
    </xf>
    <xf numFmtId="164" fontId="0" fillId="2" borderId="17" xfId="0" applyNumberFormat="1" applyFill="1" applyBorder="1" applyAlignment="1" applyProtection="1">
      <alignment horizontal="center"/>
      <protection locked="0"/>
    </xf>
    <xf numFmtId="164" fontId="0" fillId="2" borderId="18" xfId="0" applyNumberFormat="1" applyFill="1" applyBorder="1" applyAlignment="1" applyProtection="1">
      <alignment horizontal="center"/>
      <protection locked="0"/>
    </xf>
    <xf numFmtId="0" fontId="3" fillId="0" borderId="19" xfId="0" applyFont="1" applyBorder="1" applyAlignment="1">
      <alignment horizontal="center" vertical="center"/>
    </xf>
    <xf numFmtId="164" fontId="0" fillId="2" borderId="20" xfId="1" applyNumberFormat="1" applyFont="1" applyFill="1" applyBorder="1" applyAlignment="1" applyProtection="1">
      <alignment horizontal="center"/>
      <protection locked="0"/>
    </xf>
    <xf numFmtId="10" fontId="0" fillId="0" borderId="20" xfId="2" applyNumberFormat="1" applyFont="1" applyBorder="1" applyAlignment="1" applyProtection="1">
      <alignment horizontal="center"/>
    </xf>
    <xf numFmtId="0" fontId="3" fillId="0" borderId="21" xfId="0" applyFont="1" applyBorder="1" applyAlignment="1">
      <alignment horizontal="center" vertical="center"/>
    </xf>
    <xf numFmtId="164" fontId="0" fillId="0" borderId="22" xfId="2" applyNumberFormat="1" applyFont="1" applyBorder="1" applyAlignment="1" applyProtection="1">
      <alignment horizontal="center"/>
    </xf>
    <xf numFmtId="164" fontId="0" fillId="0" borderId="23" xfId="2" applyNumberFormat="1" applyFont="1" applyBorder="1" applyAlignment="1" applyProtection="1">
      <alignment horizontal="center"/>
    </xf>
    <xf numFmtId="164" fontId="0" fillId="0" borderId="0" xfId="0" applyNumberFormat="1"/>
    <xf numFmtId="164" fontId="0" fillId="4" borderId="24" xfId="0" applyNumberFormat="1" applyFill="1" applyBorder="1" applyAlignment="1">
      <alignment horizontal="center"/>
    </xf>
    <xf numFmtId="164" fontId="0" fillId="5" borderId="24" xfId="0" applyNumberFormat="1" applyFill="1" applyBorder="1" applyAlignment="1">
      <alignment horizontal="center"/>
    </xf>
    <xf numFmtId="164" fontId="0" fillId="6" borderId="24" xfId="0" applyNumberFormat="1" applyFill="1" applyBorder="1" applyAlignment="1">
      <alignment horizontal="center"/>
    </xf>
    <xf numFmtId="164" fontId="13" fillId="4" borderId="24" xfId="0" applyNumberFormat="1" applyFont="1" applyFill="1" applyBorder="1" applyAlignment="1">
      <alignment horizontal="center"/>
    </xf>
    <xf numFmtId="164" fontId="13" fillId="5" borderId="24" xfId="0" applyNumberFormat="1" applyFont="1" applyFill="1" applyBorder="1" applyAlignment="1">
      <alignment horizontal="center"/>
    </xf>
    <xf numFmtId="164" fontId="13" fillId="6" borderId="24" xfId="0" applyNumberFormat="1" applyFont="1" applyFill="1" applyBorder="1" applyAlignment="1">
      <alignment horizontal="center"/>
    </xf>
    <xf numFmtId="0" fontId="0" fillId="0" borderId="16" xfId="0" applyBorder="1"/>
    <xf numFmtId="165" fontId="2" fillId="4" borderId="17" xfId="0" applyNumberFormat="1" applyFont="1" applyFill="1" applyBorder="1" applyAlignment="1">
      <alignment horizontal="center"/>
    </xf>
    <xf numFmtId="165" fontId="2" fillId="5" borderId="17" xfId="0" applyNumberFormat="1" applyFont="1" applyFill="1" applyBorder="1" applyAlignment="1">
      <alignment horizontal="center"/>
    </xf>
    <xf numFmtId="165" fontId="2" fillId="6" borderId="17" xfId="0" applyNumberFormat="1" applyFont="1" applyFill="1" applyBorder="1" applyAlignment="1">
      <alignment horizontal="center"/>
    </xf>
    <xf numFmtId="165" fontId="2" fillId="6" borderId="18" xfId="0" applyNumberFormat="1" applyFont="1" applyFill="1" applyBorder="1" applyAlignment="1">
      <alignment horizontal="center"/>
    </xf>
    <xf numFmtId="0" fontId="2" fillId="0" borderId="25" xfId="0" applyFont="1" applyBorder="1"/>
    <xf numFmtId="164" fontId="0" fillId="6" borderId="26" xfId="0" applyNumberFormat="1" applyFill="1" applyBorder="1" applyAlignment="1">
      <alignment horizontal="center"/>
    </xf>
    <xf numFmtId="0" fontId="10" fillId="0" borderId="25" xfId="0" applyFont="1" applyBorder="1"/>
    <xf numFmtId="164" fontId="13" fillId="6" borderId="26" xfId="0" applyNumberFormat="1" applyFont="1" applyFill="1" applyBorder="1" applyAlignment="1">
      <alignment horizontal="center"/>
    </xf>
    <xf numFmtId="0" fontId="0" fillId="0" borderId="21" xfId="0" applyBorder="1"/>
    <xf numFmtId="164" fontId="0" fillId="4" borderId="22" xfId="0" applyNumberFormat="1" applyFill="1" applyBorder="1" applyAlignment="1">
      <alignment horizontal="center"/>
    </xf>
    <xf numFmtId="164" fontId="14" fillId="4" borderId="22" xfId="0" applyNumberFormat="1" applyFont="1" applyFill="1" applyBorder="1" applyAlignment="1">
      <alignment horizontal="center"/>
    </xf>
    <xf numFmtId="164" fontId="13" fillId="5" borderId="22" xfId="0" applyNumberFormat="1" applyFont="1" applyFill="1" applyBorder="1" applyAlignment="1">
      <alignment horizontal="center"/>
    </xf>
    <xf numFmtId="164" fontId="14" fillId="5" borderId="22" xfId="0" applyNumberFormat="1" applyFont="1" applyFill="1" applyBorder="1" applyAlignment="1">
      <alignment horizontal="center"/>
    </xf>
    <xf numFmtId="164" fontId="13" fillId="6" borderId="22" xfId="0" applyNumberFormat="1" applyFont="1" applyFill="1" applyBorder="1" applyAlignment="1">
      <alignment horizontal="center"/>
    </xf>
    <xf numFmtId="164" fontId="14" fillId="6" borderId="23" xfId="0" applyNumberFormat="1" applyFont="1" applyFill="1" applyBorder="1" applyAlignment="1">
      <alignment horizontal="center"/>
    </xf>
    <xf numFmtId="0" fontId="7" fillId="3" borderId="27" xfId="0" applyFont="1" applyFill="1" applyBorder="1" applyAlignment="1">
      <alignment horizontal="center" vertical="center"/>
    </xf>
    <xf numFmtId="9" fontId="8" fillId="3" borderId="28" xfId="0" applyNumberFormat="1" applyFont="1" applyFill="1" applyBorder="1" applyAlignment="1">
      <alignment horizontal="center" vertical="center"/>
    </xf>
    <xf numFmtId="9" fontId="8" fillId="3" borderId="29" xfId="0" applyNumberFormat="1" applyFont="1" applyFill="1" applyBorder="1" applyAlignment="1">
      <alignment horizontal="center" vertical="center"/>
    </xf>
    <xf numFmtId="0" fontId="7" fillId="3" borderId="30" xfId="0" applyFont="1" applyFill="1" applyBorder="1" applyAlignment="1">
      <alignment horizontal="center" vertical="center"/>
    </xf>
    <xf numFmtId="9" fontId="8" fillId="3" borderId="31" xfId="0" applyNumberFormat="1" applyFont="1" applyFill="1" applyBorder="1" applyAlignment="1">
      <alignment horizontal="center" vertical="center"/>
    </xf>
    <xf numFmtId="0" fontId="8" fillId="3" borderId="31" xfId="0" applyFont="1" applyFill="1" applyBorder="1" applyAlignment="1">
      <alignment horizontal="center" vertical="center"/>
    </xf>
    <xf numFmtId="0" fontId="7" fillId="3" borderId="32" xfId="0" applyFont="1" applyFill="1" applyBorder="1" applyAlignment="1">
      <alignment horizontal="center" vertical="center"/>
    </xf>
    <xf numFmtId="9" fontId="8" fillId="3" borderId="33" xfId="0" applyNumberFormat="1" applyFont="1" applyFill="1" applyBorder="1" applyAlignment="1">
      <alignment horizontal="center" vertical="center"/>
    </xf>
    <xf numFmtId="10" fontId="8" fillId="3" borderId="34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right"/>
    </xf>
    <xf numFmtId="0" fontId="6" fillId="0" borderId="38" xfId="0" applyFont="1" applyBorder="1" applyAlignment="1">
      <alignment horizontal="center" vertical="center"/>
    </xf>
    <xf numFmtId="10" fontId="0" fillId="0" borderId="17" xfId="2" applyNumberFormat="1" applyFont="1" applyBorder="1" applyAlignment="1" applyProtection="1">
      <alignment horizontal="center"/>
    </xf>
    <xf numFmtId="10" fontId="0" fillId="0" borderId="18" xfId="2" applyNumberFormat="1" applyFont="1" applyBorder="1" applyAlignment="1" applyProtection="1">
      <alignment horizontal="center"/>
    </xf>
    <xf numFmtId="0" fontId="6" fillId="0" borderId="39" xfId="0" applyFont="1" applyBorder="1" applyAlignment="1">
      <alignment horizontal="center" vertical="center"/>
    </xf>
    <xf numFmtId="164" fontId="0" fillId="0" borderId="22" xfId="1" applyNumberFormat="1" applyFont="1" applyBorder="1" applyAlignment="1" applyProtection="1">
      <alignment horizontal="center"/>
    </xf>
    <xf numFmtId="164" fontId="0" fillId="0" borderId="23" xfId="1" applyNumberFormat="1" applyFont="1" applyBorder="1" applyAlignment="1" applyProtection="1">
      <alignment horizontal="center"/>
    </xf>
    <xf numFmtId="0" fontId="15" fillId="0" borderId="25" xfId="0" applyFont="1" applyBorder="1"/>
    <xf numFmtId="164" fontId="16" fillId="4" borderId="24" xfId="0" applyNumberFormat="1" applyFont="1" applyFill="1" applyBorder="1" applyAlignment="1">
      <alignment horizontal="center"/>
    </xf>
    <xf numFmtId="0" fontId="15" fillId="0" borderId="21" xfId="0" applyFont="1" applyBorder="1"/>
    <xf numFmtId="164" fontId="16" fillId="4" borderId="22" xfId="0" applyNumberFormat="1" applyFont="1" applyFill="1" applyBorder="1" applyAlignment="1">
      <alignment horizontal="center"/>
    </xf>
    <xf numFmtId="164" fontId="16" fillId="5" borderId="22" xfId="0" applyNumberFormat="1" applyFont="1" applyFill="1" applyBorder="1" applyAlignment="1">
      <alignment horizontal="center"/>
    </xf>
    <xf numFmtId="164" fontId="15" fillId="4" borderId="24" xfId="0" applyNumberFormat="1" applyFont="1" applyFill="1" applyBorder="1" applyAlignment="1">
      <alignment horizontal="center"/>
    </xf>
    <xf numFmtId="164" fontId="15" fillId="5" borderId="24" xfId="0" applyNumberFormat="1" applyFont="1" applyFill="1" applyBorder="1" applyAlignment="1">
      <alignment horizontal="center"/>
    </xf>
    <xf numFmtId="164" fontId="15" fillId="6" borderId="24" xfId="0" applyNumberFormat="1" applyFont="1" applyFill="1" applyBorder="1" applyAlignment="1">
      <alignment horizontal="center"/>
    </xf>
    <xf numFmtId="164" fontId="15" fillId="6" borderId="26" xfId="0" applyNumberFormat="1" applyFont="1" applyFill="1" applyBorder="1" applyAlignment="1">
      <alignment horizontal="center"/>
    </xf>
    <xf numFmtId="164" fontId="15" fillId="5" borderId="22" xfId="0" applyNumberFormat="1" applyFont="1" applyFill="1" applyBorder="1" applyAlignment="1">
      <alignment horizontal="center"/>
    </xf>
    <xf numFmtId="164" fontId="15" fillId="6" borderId="22" xfId="0" applyNumberFormat="1" applyFont="1" applyFill="1" applyBorder="1" applyAlignment="1">
      <alignment horizontal="center"/>
    </xf>
    <xf numFmtId="164" fontId="15" fillId="6" borderId="23" xfId="0" applyNumberFormat="1" applyFont="1" applyFill="1" applyBorder="1" applyAlignment="1">
      <alignment horizontal="center"/>
    </xf>
    <xf numFmtId="165" fontId="17" fillId="4" borderId="17" xfId="0" applyNumberFormat="1" applyFont="1" applyFill="1" applyBorder="1" applyAlignment="1">
      <alignment horizontal="center"/>
    </xf>
    <xf numFmtId="165" fontId="2" fillId="7" borderId="17" xfId="0" applyNumberFormat="1" applyFont="1" applyFill="1" applyBorder="1" applyAlignment="1">
      <alignment horizontal="center"/>
    </xf>
    <xf numFmtId="164" fontId="0" fillId="7" borderId="24" xfId="0" applyNumberFormat="1" applyFill="1" applyBorder="1" applyAlignment="1">
      <alignment horizontal="center"/>
    </xf>
    <xf numFmtId="164" fontId="15" fillId="7" borderId="24" xfId="0" applyNumberFormat="1" applyFont="1" applyFill="1" applyBorder="1" applyAlignment="1">
      <alignment horizontal="center"/>
    </xf>
    <xf numFmtId="164" fontId="15" fillId="7" borderId="22" xfId="0" applyNumberFormat="1" applyFont="1" applyFill="1" applyBorder="1" applyAlignment="1">
      <alignment horizontal="center"/>
    </xf>
    <xf numFmtId="164" fontId="15" fillId="4" borderId="22" xfId="0" applyNumberFormat="1" applyFont="1" applyFill="1" applyBorder="1" applyAlignment="1">
      <alignment horizontal="center"/>
    </xf>
    <xf numFmtId="3" fontId="0" fillId="0" borderId="0" xfId="0" applyNumberFormat="1"/>
    <xf numFmtId="164" fontId="0" fillId="2" borderId="0" xfId="3" applyNumberFormat="1" applyFont="1" applyFill="1" applyAlignment="1" applyProtection="1">
      <alignment horizontal="center"/>
      <protection locked="0"/>
    </xf>
    <xf numFmtId="10" fontId="0" fillId="0" borderId="0" xfId="2" applyNumberFormat="1" applyFont="1" applyAlignment="1">
      <alignment horizontal="center"/>
    </xf>
    <xf numFmtId="10" fontId="0" fillId="0" borderId="5" xfId="2" applyNumberFormat="1" applyFont="1" applyBorder="1" applyAlignment="1">
      <alignment horizontal="center"/>
    </xf>
    <xf numFmtId="2" fontId="0" fillId="0" borderId="0" xfId="2" applyNumberFormat="1" applyFont="1" applyAlignment="1">
      <alignment horizontal="center"/>
    </xf>
    <xf numFmtId="2" fontId="0" fillId="0" borderId="5" xfId="2" applyNumberFormat="1" applyFont="1" applyBorder="1" applyAlignment="1">
      <alignment horizontal="center"/>
    </xf>
    <xf numFmtId="164" fontId="0" fillId="0" borderId="6" xfId="1" applyNumberFormat="1" applyFont="1" applyBorder="1" applyAlignment="1">
      <alignment horizontal="center"/>
    </xf>
    <xf numFmtId="164" fontId="0" fillId="0" borderId="7" xfId="1" applyNumberFormat="1" applyFont="1" applyBorder="1" applyAlignment="1">
      <alignment horizontal="center"/>
    </xf>
    <xf numFmtId="10" fontId="0" fillId="0" borderId="17" xfId="2" applyNumberFormat="1" applyFont="1" applyBorder="1" applyAlignment="1">
      <alignment horizontal="center"/>
    </xf>
    <xf numFmtId="10" fontId="0" fillId="0" borderId="18" xfId="2" applyNumberFormat="1" applyFont="1" applyBorder="1" applyAlignment="1">
      <alignment horizontal="center"/>
    </xf>
    <xf numFmtId="164" fontId="0" fillId="0" borderId="22" xfId="1" applyNumberFormat="1" applyFont="1" applyBorder="1" applyAlignment="1">
      <alignment horizontal="center"/>
    </xf>
    <xf numFmtId="164" fontId="0" fillId="0" borderId="23" xfId="1" applyNumberFormat="1" applyFont="1" applyBorder="1" applyAlignment="1">
      <alignment horizontal="center"/>
    </xf>
    <xf numFmtId="164" fontId="0" fillId="0" borderId="3" xfId="1" applyNumberFormat="1" applyFont="1" applyBorder="1" applyAlignment="1">
      <alignment horizontal="center"/>
    </xf>
    <xf numFmtId="164" fontId="0" fillId="0" borderId="4" xfId="1" applyNumberFormat="1" applyFont="1" applyBorder="1" applyAlignment="1">
      <alignment horizontal="center"/>
    </xf>
    <xf numFmtId="164" fontId="0" fillId="2" borderId="0" xfId="1" applyNumberFormat="1" applyFont="1" applyFill="1" applyAlignment="1" applyProtection="1">
      <alignment horizontal="center"/>
      <protection locked="0"/>
    </xf>
    <xf numFmtId="164" fontId="11" fillId="0" borderId="6" xfId="1" applyNumberFormat="1" applyFont="1" applyBorder="1" applyAlignment="1">
      <alignment horizontal="center"/>
    </xf>
    <xf numFmtId="164" fontId="11" fillId="0" borderId="7" xfId="1" applyNumberFormat="1" applyFont="1" applyBorder="1" applyAlignment="1">
      <alignment horizontal="center"/>
    </xf>
    <xf numFmtId="10" fontId="0" fillId="0" borderId="20" xfId="2" applyNumberFormat="1" applyFont="1" applyBorder="1" applyAlignment="1">
      <alignment horizontal="center"/>
    </xf>
    <xf numFmtId="164" fontId="0" fillId="0" borderId="22" xfId="2" applyNumberFormat="1" applyFont="1" applyBorder="1" applyAlignment="1">
      <alignment horizontal="center"/>
    </xf>
    <xf numFmtId="164" fontId="0" fillId="0" borderId="23" xfId="2" applyNumberFormat="1" applyFont="1" applyBorder="1" applyAlignment="1">
      <alignment horizontal="center"/>
    </xf>
    <xf numFmtId="164" fontId="18" fillId="2" borderId="3" xfId="3" applyNumberFormat="1" applyFont="1" applyFill="1" applyBorder="1" applyAlignment="1" applyProtection="1">
      <alignment horizontal="center"/>
      <protection locked="0"/>
    </xf>
    <xf numFmtId="164" fontId="18" fillId="2" borderId="0" xfId="3" applyNumberFormat="1" applyFont="1" applyFill="1" applyBorder="1" applyAlignment="1" applyProtection="1">
      <alignment horizontal="center"/>
      <protection locked="0"/>
    </xf>
    <xf numFmtId="4" fontId="0" fillId="0" borderId="0" xfId="0" applyNumberFormat="1"/>
    <xf numFmtId="164" fontId="19" fillId="6" borderId="24" xfId="0" applyNumberFormat="1" applyFont="1" applyFill="1" applyBorder="1" applyAlignment="1">
      <alignment horizontal="center"/>
    </xf>
    <xf numFmtId="8" fontId="0" fillId="0" borderId="0" xfId="0" applyNumberFormat="1" applyAlignment="1">
      <alignment horizontal="center"/>
    </xf>
    <xf numFmtId="8" fontId="0" fillId="8" borderId="0" xfId="0" applyNumberFormat="1" applyFill="1" applyAlignment="1">
      <alignment horizontal="center"/>
    </xf>
    <xf numFmtId="0" fontId="0" fillId="0" borderId="17" xfId="0" applyBorder="1"/>
    <xf numFmtId="0" fontId="15" fillId="0" borderId="22" xfId="0" applyFont="1" applyBorder="1"/>
    <xf numFmtId="0" fontId="2" fillId="0" borderId="24" xfId="0" applyFont="1" applyBorder="1"/>
    <xf numFmtId="0" fontId="15" fillId="0" borderId="24" xfId="0" applyFont="1" applyBorder="1"/>
    <xf numFmtId="164" fontId="19" fillId="4" borderId="24" xfId="0" applyNumberFormat="1" applyFont="1" applyFill="1" applyBorder="1" applyAlignment="1">
      <alignment horizontal="center"/>
    </xf>
    <xf numFmtId="0" fontId="9" fillId="0" borderId="35" xfId="0" applyFont="1" applyBorder="1" applyAlignment="1">
      <alignment horizontal="center" vertical="center" textRotation="90" wrapText="1"/>
    </xf>
    <xf numFmtId="0" fontId="9" fillId="0" borderId="36" xfId="0" applyFont="1" applyBorder="1" applyAlignment="1">
      <alignment horizontal="center" vertical="center" textRotation="90" wrapText="1"/>
    </xf>
    <xf numFmtId="0" fontId="9" fillId="0" borderId="37" xfId="0" applyFont="1" applyBorder="1" applyAlignment="1">
      <alignment horizontal="center" vertical="center" textRotation="90" wrapText="1"/>
    </xf>
    <xf numFmtId="0" fontId="12" fillId="0" borderId="8" xfId="0" applyFont="1" applyBorder="1" applyAlignment="1">
      <alignment horizontal="center" vertical="center" textRotation="90" wrapText="1"/>
    </xf>
    <xf numFmtId="0" fontId="12" fillId="0" borderId="9" xfId="0" applyFont="1" applyBorder="1" applyAlignment="1">
      <alignment horizontal="center" vertical="center" textRotation="90" wrapText="1"/>
    </xf>
    <xf numFmtId="0" fontId="12" fillId="0" borderId="10" xfId="0" applyFont="1" applyBorder="1" applyAlignment="1">
      <alignment horizontal="center" vertical="center" textRotation="90" wrapText="1"/>
    </xf>
    <xf numFmtId="0" fontId="10" fillId="0" borderId="0" xfId="0" applyFont="1" applyAlignment="1">
      <alignment horizontal="right"/>
    </xf>
    <xf numFmtId="0" fontId="9" fillId="0" borderId="13" xfId="0" applyFont="1" applyBorder="1" applyAlignment="1">
      <alignment horizontal="center" vertical="center" textRotation="90" wrapText="1"/>
    </xf>
    <xf numFmtId="0" fontId="9" fillId="0" borderId="14" xfId="0" applyFont="1" applyBorder="1" applyAlignment="1">
      <alignment horizontal="center" vertical="center" textRotation="90" wrapText="1"/>
    </xf>
    <xf numFmtId="0" fontId="9" fillId="0" borderId="15" xfId="0" applyFont="1" applyBorder="1" applyAlignment="1">
      <alignment horizontal="center" vertical="center" textRotation="90" wrapText="1"/>
    </xf>
    <xf numFmtId="164" fontId="15" fillId="7" borderId="40" xfId="0" applyNumberFormat="1" applyFont="1" applyFill="1" applyBorder="1" applyAlignment="1">
      <alignment horizontal="center"/>
    </xf>
    <xf numFmtId="164" fontId="15" fillId="7" borderId="41" xfId="0" applyNumberFormat="1" applyFont="1" applyFill="1" applyBorder="1" applyAlignment="1">
      <alignment horizontal="center"/>
    </xf>
    <xf numFmtId="164" fontId="15" fillId="6" borderId="40" xfId="0" applyNumberFormat="1" applyFont="1" applyFill="1" applyBorder="1" applyAlignment="1">
      <alignment horizontal="center"/>
    </xf>
    <xf numFmtId="164" fontId="15" fillId="6" borderId="43" xfId="0" applyNumberFormat="1" applyFont="1" applyFill="1" applyBorder="1" applyAlignment="1">
      <alignment horizontal="center"/>
    </xf>
    <xf numFmtId="164" fontId="15" fillId="6" borderId="41" xfId="0" applyNumberFormat="1" applyFont="1" applyFill="1" applyBorder="1" applyAlignment="1">
      <alignment horizontal="center"/>
    </xf>
    <xf numFmtId="164" fontId="15" fillId="6" borderId="42" xfId="0" applyNumberFormat="1" applyFont="1" applyFill="1" applyBorder="1" applyAlignment="1">
      <alignment horizontal="center"/>
    </xf>
    <xf numFmtId="164" fontId="15" fillId="5" borderId="40" xfId="0" applyNumberFormat="1" applyFont="1" applyFill="1" applyBorder="1" applyAlignment="1">
      <alignment horizontal="center"/>
    </xf>
    <xf numFmtId="164" fontId="15" fillId="5" borderId="41" xfId="0" applyNumberFormat="1" applyFont="1" applyFill="1" applyBorder="1" applyAlignment="1">
      <alignment horizontal="center"/>
    </xf>
    <xf numFmtId="164" fontId="15" fillId="4" borderId="41" xfId="0" applyNumberFormat="1" applyFont="1" applyFill="1" applyBorder="1" applyAlignment="1">
      <alignment horizontal="center"/>
    </xf>
    <xf numFmtId="0" fontId="20" fillId="0" borderId="35" xfId="0" applyFont="1" applyBorder="1" applyAlignment="1">
      <alignment horizontal="center" vertical="center" textRotation="90"/>
    </xf>
    <xf numFmtId="0" fontId="20" fillId="0" borderId="36" xfId="0" applyFont="1" applyBorder="1" applyAlignment="1">
      <alignment horizontal="center" vertical="center" textRotation="90"/>
    </xf>
    <xf numFmtId="0" fontId="20" fillId="0" borderId="37" xfId="0" applyFont="1" applyBorder="1" applyAlignment="1">
      <alignment horizontal="center" vertical="center" textRotation="90"/>
    </xf>
    <xf numFmtId="164" fontId="15" fillId="4" borderId="40" xfId="0" applyNumberFormat="1" applyFont="1" applyFill="1" applyBorder="1" applyAlignment="1">
      <alignment horizontal="center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AFFF70-C688-410A-8524-897AD26F4E4F}">
  <dimension ref="B1:U37"/>
  <sheetViews>
    <sheetView showGridLines="0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6" sqref="E6"/>
    </sheetView>
  </sheetViews>
  <sheetFormatPr defaultColWidth="8.88671875" defaultRowHeight="15" customHeight="1" x14ac:dyDescent="0.3"/>
  <cols>
    <col min="1" max="1" width="3.6640625" customWidth="1"/>
    <col min="2" max="2" width="9.109375"/>
    <col min="3" max="3" width="33.33203125" bestFit="1" customWidth="1"/>
    <col min="4" max="4" width="16.44140625" customWidth="1"/>
    <col min="5" max="5" width="16.44140625" style="1" bestFit="1" customWidth="1"/>
    <col min="6" max="7" width="15.44140625" style="1" customWidth="1"/>
    <col min="8" max="8" width="9.109375"/>
    <col min="9" max="9" width="10.6640625" bestFit="1" customWidth="1"/>
    <col min="10" max="10" width="15.44140625" customWidth="1"/>
    <col min="11" max="11" width="13.6640625" customWidth="1"/>
    <col min="12" max="12" width="15.44140625" customWidth="1"/>
    <col min="13" max="14" width="15.44140625" bestFit="1" customWidth="1"/>
    <col min="15" max="15" width="15.5546875" bestFit="1" customWidth="1"/>
    <col min="16" max="17" width="15.44140625" bestFit="1" customWidth="1"/>
    <col min="18" max="18" width="15.5546875" bestFit="1" customWidth="1"/>
    <col min="19" max="21" width="15.44140625" bestFit="1" customWidth="1"/>
  </cols>
  <sheetData>
    <row r="1" spans="2:21" ht="15" customHeight="1" x14ac:dyDescent="0.3">
      <c r="D1" s="1"/>
    </row>
    <row r="2" spans="2:21" ht="14.4" x14ac:dyDescent="0.3">
      <c r="C2" s="18"/>
      <c r="D2" s="19" t="s">
        <v>0</v>
      </c>
      <c r="E2" s="19" t="s">
        <v>1</v>
      </c>
      <c r="F2" s="19" t="s">
        <v>2</v>
      </c>
      <c r="G2" s="19" t="s">
        <v>3</v>
      </c>
      <c r="I2" s="58"/>
      <c r="J2" s="59">
        <v>45658</v>
      </c>
      <c r="K2" s="59">
        <f>EDATE(J2,1)</f>
        <v>45689</v>
      </c>
      <c r="L2" s="59">
        <f t="shared" ref="L2:U2" si="0">EDATE(K2,1)</f>
        <v>45717</v>
      </c>
      <c r="M2" s="60">
        <f t="shared" si="0"/>
        <v>45748</v>
      </c>
      <c r="N2" s="60">
        <f t="shared" si="0"/>
        <v>45778</v>
      </c>
      <c r="O2" s="60">
        <f t="shared" si="0"/>
        <v>45809</v>
      </c>
      <c r="P2" s="103">
        <f t="shared" si="0"/>
        <v>45839</v>
      </c>
      <c r="Q2" s="103">
        <f t="shared" si="0"/>
        <v>45870</v>
      </c>
      <c r="R2" s="103">
        <f t="shared" si="0"/>
        <v>45901</v>
      </c>
      <c r="S2" s="61">
        <f t="shared" si="0"/>
        <v>45931</v>
      </c>
      <c r="T2" s="61">
        <f t="shared" si="0"/>
        <v>45962</v>
      </c>
      <c r="U2" s="62">
        <f t="shared" si="0"/>
        <v>45992</v>
      </c>
    </row>
    <row r="3" spans="2:21" ht="15" customHeight="1" x14ac:dyDescent="0.3">
      <c r="B3" s="139" t="s">
        <v>4</v>
      </c>
      <c r="C3" s="20" t="s">
        <v>5</v>
      </c>
      <c r="D3" s="38">
        <f>L9</f>
        <v>444025</v>
      </c>
      <c r="E3" s="38">
        <f>O9</f>
        <v>494695.73</v>
      </c>
      <c r="F3" s="38">
        <f>R9</f>
        <v>571272</v>
      </c>
      <c r="G3" s="39">
        <f>U9</f>
        <v>604500</v>
      </c>
      <c r="I3" s="63" t="s">
        <v>6</v>
      </c>
      <c r="J3" s="52">
        <v>16074</v>
      </c>
      <c r="K3" s="52">
        <v>19136</v>
      </c>
      <c r="L3" s="52">
        <v>21433</v>
      </c>
      <c r="M3" s="53">
        <v>13472</v>
      </c>
      <c r="N3" s="53">
        <v>14314</v>
      </c>
      <c r="O3" s="53">
        <v>14314</v>
      </c>
      <c r="P3" s="104">
        <v>15156</v>
      </c>
      <c r="Q3" s="104">
        <v>18524</v>
      </c>
      <c r="R3" s="104">
        <v>20376</v>
      </c>
      <c r="S3" s="54">
        <v>21302</v>
      </c>
      <c r="T3" s="54">
        <v>23155</v>
      </c>
      <c r="U3" s="64">
        <v>19450</v>
      </c>
    </row>
    <row r="4" spans="2:21" ht="15" customHeight="1" x14ac:dyDescent="0.3">
      <c r="B4" s="140"/>
      <c r="C4" s="21" t="s">
        <v>7</v>
      </c>
      <c r="D4" s="40">
        <v>529585.12</v>
      </c>
      <c r="E4" s="40">
        <v>513371.64</v>
      </c>
      <c r="F4" s="40"/>
      <c r="G4" s="41"/>
      <c r="I4" s="63" t="s">
        <v>8</v>
      </c>
      <c r="J4" s="52">
        <v>35925</v>
      </c>
      <c r="K4" s="52">
        <v>40322</v>
      </c>
      <c r="L4" s="52">
        <v>30438</v>
      </c>
      <c r="M4" s="53">
        <v>30798</v>
      </c>
      <c r="N4" s="53">
        <v>31185</v>
      </c>
      <c r="O4" s="53">
        <v>31567</v>
      </c>
      <c r="P4" s="104">
        <v>31909</v>
      </c>
      <c r="Q4" s="104">
        <v>32304</v>
      </c>
      <c r="R4" s="104">
        <v>32697</v>
      </c>
      <c r="S4" s="54">
        <v>33062</v>
      </c>
      <c r="T4" s="54">
        <v>33375</v>
      </c>
      <c r="U4" s="64">
        <v>33674</v>
      </c>
    </row>
    <row r="5" spans="2:21" ht="15" customHeight="1" x14ac:dyDescent="0.3">
      <c r="B5" s="140"/>
      <c r="C5" s="21" t="s">
        <v>9</v>
      </c>
      <c r="D5" s="6">
        <f>IFERROR(D4/D3,0)</f>
        <v>1.1926921231912617</v>
      </c>
      <c r="E5" s="6">
        <f>IFERROR(E4/E3,0)</f>
        <v>1.0377523169646119</v>
      </c>
      <c r="F5" s="6">
        <f t="shared" ref="F5:G5" si="1">IFERROR(F4/F3,0)</f>
        <v>0</v>
      </c>
      <c r="G5" s="7">
        <f t="shared" si="1"/>
        <v>0</v>
      </c>
      <c r="I5" s="63" t="s">
        <v>10</v>
      </c>
      <c r="J5" s="52">
        <v>36036</v>
      </c>
      <c r="K5" s="52">
        <v>36036</v>
      </c>
      <c r="L5" s="52">
        <v>40263</v>
      </c>
      <c r="M5" s="53">
        <v>37280</v>
      </c>
      <c r="N5" s="53">
        <v>25366</v>
      </c>
      <c r="O5" s="53">
        <v>23060</v>
      </c>
      <c r="P5" s="104">
        <v>18448</v>
      </c>
      <c r="Q5" s="104">
        <v>13836</v>
      </c>
      <c r="R5" s="104">
        <v>9224</v>
      </c>
      <c r="S5" s="54">
        <v>9501</v>
      </c>
      <c r="T5" s="54">
        <v>0</v>
      </c>
      <c r="U5" s="64">
        <v>0</v>
      </c>
    </row>
    <row r="6" spans="2:21" ht="15" customHeight="1" x14ac:dyDescent="0.3">
      <c r="B6" s="140"/>
      <c r="C6" s="22" t="s">
        <v>11</v>
      </c>
      <c r="D6" s="23">
        <v>1</v>
      </c>
      <c r="E6" s="23">
        <v>0.6</v>
      </c>
      <c r="F6" s="23">
        <v>0.6</v>
      </c>
      <c r="G6" s="24">
        <v>0.6</v>
      </c>
      <c r="I6" s="63" t="s">
        <v>12</v>
      </c>
      <c r="J6" s="52">
        <v>11699</v>
      </c>
      <c r="K6" s="52">
        <v>22997</v>
      </c>
      <c r="L6" s="52">
        <v>26532</v>
      </c>
      <c r="M6" s="53">
        <v>25173</v>
      </c>
      <c r="N6" s="53">
        <v>32285.73</v>
      </c>
      <c r="O6" s="53">
        <v>25074.6</v>
      </c>
      <c r="P6" s="104">
        <v>33402</v>
      </c>
      <c r="Q6" s="104">
        <v>37572</v>
      </c>
      <c r="R6" s="104">
        <v>39745</v>
      </c>
      <c r="S6" s="54">
        <v>42904</v>
      </c>
      <c r="T6" s="54">
        <v>53326</v>
      </c>
      <c r="U6" s="64">
        <v>32138</v>
      </c>
    </row>
    <row r="7" spans="2:21" ht="15" customHeight="1" x14ac:dyDescent="0.3">
      <c r="B7" s="140"/>
      <c r="C7" s="25"/>
      <c r="D7" s="1"/>
      <c r="G7" s="26"/>
      <c r="I7" s="63" t="s">
        <v>13</v>
      </c>
      <c r="J7" s="52">
        <v>18574</v>
      </c>
      <c r="K7" s="52">
        <v>20652</v>
      </c>
      <c r="L7" s="52">
        <v>26609</v>
      </c>
      <c r="M7" s="53">
        <v>31407</v>
      </c>
      <c r="N7" s="53">
        <v>29601</v>
      </c>
      <c r="O7" s="53">
        <v>35464.400000000001</v>
      </c>
      <c r="P7" s="104">
        <v>35993</v>
      </c>
      <c r="Q7" s="104">
        <v>45292</v>
      </c>
      <c r="R7" s="104">
        <v>50045</v>
      </c>
      <c r="S7" s="54">
        <v>45872</v>
      </c>
      <c r="T7" s="54">
        <v>49261</v>
      </c>
      <c r="U7" s="64">
        <v>44391</v>
      </c>
    </row>
    <row r="8" spans="2:21" ht="15" customHeight="1" x14ac:dyDescent="0.3">
      <c r="B8" s="140"/>
      <c r="C8" s="20" t="s">
        <v>14</v>
      </c>
      <c r="D8" s="38">
        <f>L11</f>
        <v>3205340.87</v>
      </c>
      <c r="E8" s="38">
        <f>O11</f>
        <v>3202609.4995770985</v>
      </c>
      <c r="F8" s="38">
        <f>R11</f>
        <v>3585974.3698783768</v>
      </c>
      <c r="G8" s="39">
        <f>U11</f>
        <v>4046317.2134156162</v>
      </c>
      <c r="I8" s="63" t="s">
        <v>15</v>
      </c>
      <c r="J8" s="52">
        <v>11261</v>
      </c>
      <c r="K8" s="52">
        <v>13774</v>
      </c>
      <c r="L8" s="52">
        <v>16264</v>
      </c>
      <c r="M8" s="53">
        <v>27915</v>
      </c>
      <c r="N8" s="53">
        <v>28242</v>
      </c>
      <c r="O8" s="53">
        <v>38177</v>
      </c>
      <c r="P8" s="104">
        <v>35756</v>
      </c>
      <c r="Q8" s="104">
        <v>43133</v>
      </c>
      <c r="R8" s="104">
        <v>57860</v>
      </c>
      <c r="S8" s="54">
        <v>50525</v>
      </c>
      <c r="T8" s="54">
        <v>53144</v>
      </c>
      <c r="U8" s="64">
        <v>59420</v>
      </c>
    </row>
    <row r="9" spans="2:21" ht="15" customHeight="1" x14ac:dyDescent="0.3">
      <c r="B9" s="140"/>
      <c r="C9" s="21" t="s">
        <v>16</v>
      </c>
      <c r="D9" s="40">
        <v>3600858.74</v>
      </c>
      <c r="E9" s="40">
        <v>3454647.02</v>
      </c>
      <c r="F9" s="40"/>
      <c r="G9" s="41"/>
      <c r="I9" s="90" t="s">
        <v>5</v>
      </c>
      <c r="J9" s="91"/>
      <c r="K9" s="91"/>
      <c r="L9" s="95">
        <f>SUM(J3:L8)</f>
        <v>444025</v>
      </c>
      <c r="M9" s="96"/>
      <c r="N9" s="96"/>
      <c r="O9" s="96">
        <f>SUM(M3:O8)</f>
        <v>494695.73</v>
      </c>
      <c r="P9" s="105"/>
      <c r="Q9" s="105"/>
      <c r="R9" s="105">
        <f>SUM(P3:R8)</f>
        <v>571272</v>
      </c>
      <c r="S9" s="97"/>
      <c r="T9" s="97"/>
      <c r="U9" s="98">
        <f>SUM(S3:U8)</f>
        <v>604500</v>
      </c>
    </row>
    <row r="10" spans="2:21" ht="14.4" x14ac:dyDescent="0.3">
      <c r="B10" s="140"/>
      <c r="C10" s="21" t="s">
        <v>9</v>
      </c>
      <c r="D10" s="6">
        <f>IFERROR(D9/D8,0)</f>
        <v>1.1233933881110123</v>
      </c>
      <c r="E10" s="6">
        <f>IFERROR(E9/E8,0)</f>
        <v>1.0786975497500344</v>
      </c>
      <c r="F10" s="6">
        <f t="shared" ref="F10:G10" si="2">IFERROR(F9/F8,0)</f>
        <v>0</v>
      </c>
      <c r="G10" s="7">
        <f t="shared" si="2"/>
        <v>0</v>
      </c>
      <c r="I10" s="63" t="s">
        <v>15</v>
      </c>
      <c r="J10" s="52">
        <v>1199261</v>
      </c>
      <c r="K10" s="52">
        <v>891096</v>
      </c>
      <c r="L10" s="52">
        <v>1114983.8699999999</v>
      </c>
      <c r="M10" s="53">
        <v>1116098.8538699998</v>
      </c>
      <c r="N10" s="53">
        <v>1042733.9558756116</v>
      </c>
      <c r="O10" s="53">
        <v>1043776.689831487</v>
      </c>
      <c r="P10" s="104">
        <v>1119450.4998442698</v>
      </c>
      <c r="Q10" s="104">
        <v>1195274.6137003882</v>
      </c>
      <c r="R10" s="104">
        <v>1271249.256333719</v>
      </c>
      <c r="S10" s="54">
        <v>1272520.5055900526</v>
      </c>
      <c r="T10" s="54">
        <v>1348722.0276306802</v>
      </c>
      <c r="U10" s="64">
        <v>1425074.6801948836</v>
      </c>
    </row>
    <row r="11" spans="2:21" ht="14.4" x14ac:dyDescent="0.3">
      <c r="B11" s="140"/>
      <c r="C11" s="22" t="s">
        <v>17</v>
      </c>
      <c r="D11" s="23">
        <v>0</v>
      </c>
      <c r="E11" s="23">
        <v>0.4</v>
      </c>
      <c r="F11" s="23">
        <v>0.4</v>
      </c>
      <c r="G11" s="24">
        <v>0.4</v>
      </c>
      <c r="I11" s="92" t="s">
        <v>14</v>
      </c>
      <c r="J11" s="93"/>
      <c r="K11" s="93"/>
      <c r="L11" s="107">
        <f>SUM(J10:L10)</f>
        <v>3205340.87</v>
      </c>
      <c r="M11" s="94"/>
      <c r="N11" s="94"/>
      <c r="O11" s="99">
        <f>SUM(M10:O10)</f>
        <v>3202609.4995770985</v>
      </c>
      <c r="P11" s="106"/>
      <c r="Q11" s="106"/>
      <c r="R11" s="106">
        <f>SUM(P10:R10)</f>
        <v>3585974.3698783768</v>
      </c>
      <c r="S11" s="100"/>
      <c r="T11" s="100"/>
      <c r="U11" s="101">
        <f>SUM(S10:U10)</f>
        <v>4046317.2134156162</v>
      </c>
    </row>
    <row r="12" spans="2:21" ht="14.4" x14ac:dyDescent="0.3">
      <c r="B12" s="140"/>
      <c r="D12" s="1"/>
    </row>
    <row r="13" spans="2:21" ht="14.4" x14ac:dyDescent="0.3">
      <c r="B13" s="140"/>
      <c r="C13" s="20" t="s">
        <v>18</v>
      </c>
      <c r="D13" s="16">
        <v>3600</v>
      </c>
      <c r="E13" s="16">
        <v>3600</v>
      </c>
      <c r="F13" s="16">
        <v>3600</v>
      </c>
      <c r="G13" s="17">
        <v>3600</v>
      </c>
    </row>
    <row r="14" spans="2:21" ht="15" customHeight="1" x14ac:dyDescent="0.3">
      <c r="B14" s="140"/>
      <c r="C14" s="21" t="s">
        <v>19</v>
      </c>
      <c r="D14" s="8">
        <f>IF(D5&lt;D31,0,IF(D5&gt;D33,1.25,IF(D5&gt;D32,1.15,1)))</f>
        <v>1.25</v>
      </c>
      <c r="E14" s="8">
        <f>IF(E5&lt;E31,0,IF(E5&gt;E33,1.25,IF(E5&gt;E32,1.15,1)))</f>
        <v>1.25</v>
      </c>
      <c r="F14" s="8">
        <f>IF(F17&lt;F31,0,IF(F17&gt;F33,1.25,IF(F17&gt;F32,1.15,1)))</f>
        <v>0</v>
      </c>
      <c r="G14" s="9">
        <f>IF(G17&lt;G31,0,IF(G17&gt;G33,1.25,IF(G17&gt;G32,1.15,1)))</f>
        <v>0</v>
      </c>
    </row>
    <row r="15" spans="2:21" ht="14.4" x14ac:dyDescent="0.3">
      <c r="B15" s="141"/>
      <c r="C15" s="27" t="s">
        <v>20</v>
      </c>
      <c r="D15" s="10">
        <f>D13*D14</f>
        <v>4500</v>
      </c>
      <c r="E15" s="10">
        <f>E13*E14</f>
        <v>4500</v>
      </c>
      <c r="F15" s="10">
        <f t="shared" ref="F15:G15" si="3">F13*F14</f>
        <v>0</v>
      </c>
      <c r="G15" s="11">
        <f t="shared" si="3"/>
        <v>0</v>
      </c>
    </row>
    <row r="16" spans="2:21" ht="14.4" x14ac:dyDescent="0.3">
      <c r="C16" s="25"/>
      <c r="D16" s="1"/>
      <c r="G16" s="26"/>
      <c r="I16" s="51"/>
    </row>
    <row r="17" spans="2:9" ht="14.4" x14ac:dyDescent="0.3">
      <c r="C17" s="84" t="s">
        <v>21</v>
      </c>
      <c r="D17" s="85">
        <f>(D6*D5) + (D10*D11)</f>
        <v>1.1926921231912617</v>
      </c>
      <c r="E17" s="85">
        <f>(E6*E5) + (E10*E11)</f>
        <v>1.0541304100787809</v>
      </c>
      <c r="F17" s="85">
        <f t="shared" ref="F17:G17" si="4">(F6*F5) + (F10*F11)</f>
        <v>0</v>
      </c>
      <c r="G17" s="86">
        <f t="shared" si="4"/>
        <v>0</v>
      </c>
    </row>
    <row r="18" spans="2:9" ht="14.4" x14ac:dyDescent="0.3">
      <c r="C18" s="87" t="s">
        <v>22</v>
      </c>
      <c r="D18" s="88">
        <f>IF(D5&lt;D31,0,D17*D15)</f>
        <v>5367.1145543606781</v>
      </c>
      <c r="E18" s="88">
        <f>IF(E5&lt;E31,0,E17*E15)</f>
        <v>4743.5868453545145</v>
      </c>
      <c r="F18" s="88">
        <f>IF(F17&lt;F31,0,F17*F15)</f>
        <v>0</v>
      </c>
      <c r="G18" s="89">
        <f>IF(G17&lt;G31,0,G17*G15)</f>
        <v>0</v>
      </c>
    </row>
    <row r="19" spans="2:9" ht="14.4" x14ac:dyDescent="0.3">
      <c r="D19" s="1"/>
    </row>
    <row r="20" spans="2:9" ht="14.4" x14ac:dyDescent="0.3">
      <c r="C20" s="30" t="s">
        <v>23</v>
      </c>
      <c r="D20" s="4">
        <f>D18</f>
        <v>5367.1145543606781</v>
      </c>
      <c r="E20" s="4">
        <f>E18</f>
        <v>4743.5868453545145</v>
      </c>
      <c r="F20" s="4">
        <f t="shared" ref="F20:G20" si="5">F18</f>
        <v>0</v>
      </c>
      <c r="G20" s="5">
        <f t="shared" si="5"/>
        <v>0</v>
      </c>
    </row>
    <row r="21" spans="2:9" ht="14.4" x14ac:dyDescent="0.3">
      <c r="C21" s="31" t="s">
        <v>24</v>
      </c>
      <c r="D21" s="2"/>
      <c r="E21" s="2"/>
      <c r="F21" s="2"/>
      <c r="G21" s="3"/>
    </row>
    <row r="22" spans="2:9" ht="14.4" x14ac:dyDescent="0.3">
      <c r="C22" s="32" t="s">
        <v>25</v>
      </c>
      <c r="D22" s="14">
        <f>SUM(D20:D21)</f>
        <v>5367.1145543606781</v>
      </c>
      <c r="E22" s="14">
        <f>SUM(E20:E21)</f>
        <v>4743.5868453545145</v>
      </c>
      <c r="F22" s="14">
        <f>SUM(F20:F21)</f>
        <v>0</v>
      </c>
      <c r="G22" s="15">
        <f>SUM(G20:G21)</f>
        <v>0</v>
      </c>
    </row>
    <row r="23" spans="2:9" ht="14.4" x14ac:dyDescent="0.3">
      <c r="D23" s="1"/>
    </row>
    <row r="24" spans="2:9" ht="14.4" x14ac:dyDescent="0.3">
      <c r="B24" s="142" t="s">
        <v>26</v>
      </c>
      <c r="C24" s="42" t="s">
        <v>27</v>
      </c>
      <c r="D24" s="43"/>
      <c r="E24" s="43"/>
      <c r="F24" s="43"/>
      <c r="G24" s="44"/>
    </row>
    <row r="25" spans="2:9" ht="14.4" x14ac:dyDescent="0.3">
      <c r="B25" s="143"/>
      <c r="C25" s="45" t="s">
        <v>28</v>
      </c>
      <c r="D25" s="2"/>
      <c r="E25" s="2"/>
      <c r="F25" s="2"/>
      <c r="G25" s="46"/>
    </row>
    <row r="26" spans="2:9" ht="14.4" x14ac:dyDescent="0.3">
      <c r="B26" s="143"/>
      <c r="C26" s="45" t="s">
        <v>29</v>
      </c>
      <c r="D26" s="6">
        <f t="shared" ref="D26" si="6">IFERROR(D25/D24,0)</f>
        <v>0</v>
      </c>
      <c r="E26" s="6">
        <f t="shared" ref="E26:F26" si="7">IFERROR(E25/E24,0)</f>
        <v>0</v>
      </c>
      <c r="F26" s="6">
        <f t="shared" si="7"/>
        <v>0</v>
      </c>
      <c r="G26" s="47">
        <f>IFERROR(G25/G24,0)</f>
        <v>0</v>
      </c>
      <c r="I26" s="51"/>
    </row>
    <row r="27" spans="2:9" ht="14.4" x14ac:dyDescent="0.3">
      <c r="B27" s="144"/>
      <c r="C27" s="48" t="s">
        <v>30</v>
      </c>
      <c r="D27" s="49">
        <f>IF(D26&lt;D36,0,D21*D35)</f>
        <v>0</v>
      </c>
      <c r="E27" s="49">
        <f>IF(E26&lt;E36,0,E21*E35)</f>
        <v>0</v>
      </c>
      <c r="F27" s="49">
        <f t="shared" ref="F27:G27" si="8">IF(F26&lt;F36,0,F21*F35)</f>
        <v>0</v>
      </c>
      <c r="G27" s="50">
        <f t="shared" si="8"/>
        <v>0</v>
      </c>
    </row>
    <row r="28" spans="2:9" ht="14.4" x14ac:dyDescent="0.3">
      <c r="D28" s="83"/>
      <c r="E28" s="83"/>
      <c r="F28" s="83"/>
      <c r="G28" s="37"/>
    </row>
    <row r="29" spans="2:9" ht="14.4" x14ac:dyDescent="0.3">
      <c r="D29" s="1"/>
    </row>
    <row r="30" spans="2:9" ht="14.4" x14ac:dyDescent="0.3">
      <c r="C30" s="33" t="s">
        <v>31</v>
      </c>
      <c r="D30" s="19" t="s">
        <v>0</v>
      </c>
      <c r="E30" s="19" t="s">
        <v>1</v>
      </c>
      <c r="F30" s="19" t="s">
        <v>2</v>
      </c>
      <c r="G30" s="19" t="s">
        <v>3</v>
      </c>
      <c r="H30" s="19"/>
    </row>
    <row r="31" spans="2:9" ht="14.4" x14ac:dyDescent="0.3">
      <c r="C31" s="74" t="s">
        <v>32</v>
      </c>
      <c r="D31" s="75">
        <v>0.8</v>
      </c>
      <c r="E31" s="75">
        <v>0.8</v>
      </c>
      <c r="F31" s="75">
        <v>0.8</v>
      </c>
      <c r="G31" s="76">
        <v>0.8</v>
      </c>
      <c r="H31" s="34" t="s">
        <v>33</v>
      </c>
    </row>
    <row r="32" spans="2:9" ht="14.4" x14ac:dyDescent="0.3">
      <c r="C32" s="77" t="s">
        <v>34</v>
      </c>
      <c r="D32" s="36">
        <v>0.9</v>
      </c>
      <c r="E32" s="36">
        <v>0.9</v>
      </c>
      <c r="F32" s="36">
        <v>0.9</v>
      </c>
      <c r="G32" s="78">
        <v>0.9</v>
      </c>
      <c r="H32" s="34" t="s">
        <v>35</v>
      </c>
    </row>
    <row r="33" spans="3:8" ht="14.4" x14ac:dyDescent="0.3">
      <c r="C33" s="77" t="s">
        <v>36</v>
      </c>
      <c r="D33" s="36">
        <v>1</v>
      </c>
      <c r="E33" s="36">
        <v>1</v>
      </c>
      <c r="F33" s="36">
        <v>1</v>
      </c>
      <c r="G33" s="78">
        <v>1</v>
      </c>
      <c r="H33" s="34" t="s">
        <v>35</v>
      </c>
    </row>
    <row r="34" spans="3:8" ht="14.4" x14ac:dyDescent="0.3">
      <c r="C34" s="77" t="s">
        <v>37</v>
      </c>
      <c r="D34" s="35" t="s">
        <v>38</v>
      </c>
      <c r="E34" s="35" t="s">
        <v>38</v>
      </c>
      <c r="F34" s="35" t="s">
        <v>38</v>
      </c>
      <c r="G34" s="79" t="s">
        <v>38</v>
      </c>
      <c r="H34" s="34" t="s">
        <v>39</v>
      </c>
    </row>
    <row r="35" spans="3:8" ht="14.4" x14ac:dyDescent="0.3">
      <c r="C35" s="77" t="s">
        <v>40</v>
      </c>
      <c r="D35" s="35">
        <v>1</v>
      </c>
      <c r="E35" s="35">
        <v>1</v>
      </c>
      <c r="F35" s="35">
        <v>1</v>
      </c>
      <c r="G35" s="79">
        <v>1</v>
      </c>
      <c r="H35" s="34" t="s">
        <v>41</v>
      </c>
    </row>
    <row r="36" spans="3:8" ht="14.4" x14ac:dyDescent="0.3">
      <c r="C36" s="80" t="s">
        <v>42</v>
      </c>
      <c r="D36" s="81">
        <v>1.07</v>
      </c>
      <c r="E36" s="81">
        <v>1.07</v>
      </c>
      <c r="F36" s="81">
        <v>1</v>
      </c>
      <c r="G36" s="82">
        <v>1</v>
      </c>
      <c r="H36" s="34" t="s">
        <v>43</v>
      </c>
    </row>
    <row r="37" spans="3:8" ht="14.4" x14ac:dyDescent="0.3">
      <c r="D37" s="1"/>
    </row>
  </sheetData>
  <sheetProtection algorithmName="SHA-512" hashValue="/gQ5ncQ2tE9GHqVmlcRam93BQoCLP8gdXvtcz97mAubZnqwzyQ2ixhIzO54+w7VMivbGw+T5Agdt1xhzQEHc6w==" saltValue="RlBroiWJxIge+2lw/3urVw==" spinCount="100000" sheet="1" formatCells="0" formatColumns="0" formatRows="0"/>
  <protectedRanges>
    <protectedRange sqref="J8:L8 M10:R10 J6:R7" name="Range1"/>
  </protectedRanges>
  <mergeCells count="2">
    <mergeCell ref="B3:B15"/>
    <mergeCell ref="B24:B27"/>
  </mergeCells>
  <dataValidations count="1">
    <dataValidation type="decimal" allowBlank="1" showInputMessage="1" showErrorMessage="1" sqref="D21:G21 D8:G9 D13:G13 D25:G25 D3:G4" xr:uid="{7FE18B09-9306-4208-A9B8-18436439196E}">
      <formula1>0</formula1>
      <formula2>100000000</formula2>
    </dataValidation>
  </dataValidations>
  <pageMargins left="0.511811024" right="0.511811024" top="0.78740157499999996" bottom="0.78740157499999996" header="0.31496062000000002" footer="0.31496062000000002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9CA79-80D5-40ED-BC02-8C0FE7F65BA6}">
  <dimension ref="B2:R37"/>
  <sheetViews>
    <sheetView showGridLines="0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E1" sqref="E1"/>
    </sheetView>
  </sheetViews>
  <sheetFormatPr defaultColWidth="8.88671875" defaultRowHeight="15" customHeight="1" x14ac:dyDescent="0.3"/>
  <cols>
    <col min="1" max="1" width="3.6640625" customWidth="1"/>
    <col min="2" max="2" width="9.109375"/>
    <col min="3" max="3" width="33.33203125" bestFit="1" customWidth="1"/>
    <col min="4" max="4" width="17.6640625" style="1" bestFit="1" customWidth="1"/>
    <col min="5" max="5" width="15.88671875" style="1" bestFit="1" customWidth="1"/>
    <col min="6" max="6" width="15.44140625" style="1" bestFit="1" customWidth="1"/>
    <col min="7" max="7" width="9.109375"/>
    <col min="8" max="17" width="16.44140625" bestFit="1" customWidth="1"/>
  </cols>
  <sheetData>
    <row r="2" spans="2:18" ht="14.4" x14ac:dyDescent="0.3">
      <c r="C2" s="18"/>
      <c r="D2" s="19" t="s">
        <v>1</v>
      </c>
      <c r="E2" s="19" t="s">
        <v>2</v>
      </c>
      <c r="F2" s="19" t="s">
        <v>3</v>
      </c>
      <c r="H2" s="58"/>
      <c r="I2" s="102">
        <v>45383</v>
      </c>
      <c r="J2" s="59">
        <v>45413</v>
      </c>
      <c r="K2" s="59">
        <v>45444</v>
      </c>
      <c r="L2" s="60">
        <v>45474</v>
      </c>
      <c r="M2" s="60">
        <v>45505</v>
      </c>
      <c r="N2" s="60">
        <v>45536</v>
      </c>
      <c r="O2" s="61">
        <v>45566</v>
      </c>
      <c r="P2" s="61">
        <v>45597</v>
      </c>
      <c r="Q2" s="62">
        <v>45627</v>
      </c>
    </row>
    <row r="3" spans="2:18" ht="15" customHeight="1" x14ac:dyDescent="0.3">
      <c r="B3" s="139" t="s">
        <v>4</v>
      </c>
      <c r="C3" s="20" t="s">
        <v>44</v>
      </c>
      <c r="D3" s="38">
        <f>K10</f>
        <v>4606389.7450567679</v>
      </c>
      <c r="E3" s="38">
        <f>N10</f>
        <v>2251247.3251787908</v>
      </c>
      <c r="F3" s="39">
        <f>Q10</f>
        <v>4436015.4260733239</v>
      </c>
      <c r="H3" s="63" t="s">
        <v>45</v>
      </c>
      <c r="I3" s="52">
        <v>229793.71007999996</v>
      </c>
      <c r="J3" s="52">
        <v>310239.11222676799</v>
      </c>
      <c r="K3" s="52">
        <v>345315.60133447504</v>
      </c>
      <c r="L3" s="53">
        <v>309960</v>
      </c>
      <c r="M3" s="53">
        <v>272160</v>
      </c>
      <c r="N3" s="53">
        <v>317520</v>
      </c>
      <c r="O3" s="54">
        <v>424320</v>
      </c>
      <c r="P3" s="54">
        <v>571200</v>
      </c>
      <c r="Q3" s="64"/>
    </row>
    <row r="4" spans="2:18" ht="15" customHeight="1" x14ac:dyDescent="0.3">
      <c r="B4" s="140"/>
      <c r="C4" s="21" t="s">
        <v>46</v>
      </c>
      <c r="D4" s="40">
        <v>2251247.33</v>
      </c>
      <c r="E4" s="40">
        <v>2223060.4</v>
      </c>
      <c r="F4" s="41">
        <v>4087588.11</v>
      </c>
      <c r="H4" s="63" t="s">
        <v>6</v>
      </c>
      <c r="I4" s="52"/>
      <c r="J4" s="52"/>
      <c r="K4" s="52"/>
      <c r="L4" s="53"/>
      <c r="M4" s="53"/>
      <c r="N4" s="53"/>
      <c r="O4" s="54"/>
      <c r="P4" s="54"/>
      <c r="Q4" s="64">
        <v>216000</v>
      </c>
      <c r="R4" s="51"/>
    </row>
    <row r="5" spans="2:18" ht="15" customHeight="1" x14ac:dyDescent="0.3">
      <c r="B5" s="140"/>
      <c r="C5" s="21" t="s">
        <v>9</v>
      </c>
      <c r="D5" s="6">
        <f>IFERROR(D4/D3,0)</f>
        <v>0.48872272095861402</v>
      </c>
      <c r="E5" s="6">
        <f t="shared" ref="E5" si="0">IFERROR(E4/E3,0)</f>
        <v>0.98747941869223432</v>
      </c>
      <c r="F5" s="7">
        <f t="shared" ref="F5" si="1">IFERROR(F4/F3,0)</f>
        <v>0.92145489079560183</v>
      </c>
      <c r="H5" s="63" t="s">
        <v>8</v>
      </c>
      <c r="I5" s="52"/>
      <c r="J5" s="52"/>
      <c r="K5" s="52"/>
      <c r="L5" s="53"/>
      <c r="M5" s="53"/>
      <c r="N5" s="53"/>
      <c r="O5" s="54"/>
      <c r="P5" s="54"/>
      <c r="Q5" s="64">
        <v>438000</v>
      </c>
      <c r="R5" s="51"/>
    </row>
    <row r="6" spans="2:18" ht="15" customHeight="1" x14ac:dyDescent="0.3">
      <c r="B6" s="140"/>
      <c r="C6" s="22" t="s">
        <v>11</v>
      </c>
      <c r="D6" s="23">
        <v>1</v>
      </c>
      <c r="E6" s="23">
        <v>0.6</v>
      </c>
      <c r="F6" s="24">
        <v>0.6</v>
      </c>
      <c r="H6" s="63" t="s">
        <v>10</v>
      </c>
      <c r="I6" s="52"/>
      <c r="J6" s="52"/>
      <c r="K6" s="52"/>
      <c r="L6" s="53"/>
      <c r="M6" s="53"/>
      <c r="N6" s="53"/>
      <c r="O6" s="54"/>
      <c r="P6" s="54"/>
      <c r="Q6" s="64">
        <v>510000</v>
      </c>
      <c r="R6" s="51"/>
    </row>
    <row r="7" spans="2:18" ht="15" customHeight="1" x14ac:dyDescent="0.3">
      <c r="B7" s="140"/>
      <c r="C7" s="25"/>
      <c r="F7" s="26"/>
      <c r="H7" s="63" t="s">
        <v>12</v>
      </c>
      <c r="I7" s="52">
        <v>524538.00126000005</v>
      </c>
      <c r="J7" s="52">
        <v>515315.35508400004</v>
      </c>
      <c r="K7" s="52">
        <v>563439.78964545764</v>
      </c>
      <c r="L7" s="53">
        <v>205200</v>
      </c>
      <c r="M7" s="53">
        <v>296400</v>
      </c>
      <c r="N7" s="53">
        <v>364800</v>
      </c>
      <c r="O7" s="54">
        <v>504000</v>
      </c>
      <c r="P7" s="54">
        <v>630000</v>
      </c>
      <c r="Q7" s="64">
        <v>294000</v>
      </c>
    </row>
    <row r="8" spans="2:18" ht="15" customHeight="1" x14ac:dyDescent="0.3">
      <c r="B8" s="140"/>
      <c r="C8" s="20" t="s">
        <v>14</v>
      </c>
      <c r="D8" s="38"/>
      <c r="E8" s="38">
        <f>N12</f>
        <v>5908511.0663071871</v>
      </c>
      <c r="F8" s="39">
        <f>Q12</f>
        <v>7132007.5968230888</v>
      </c>
      <c r="H8" s="63" t="s">
        <v>13</v>
      </c>
      <c r="I8" s="52"/>
      <c r="J8" s="52"/>
      <c r="K8" s="52"/>
      <c r="L8" s="53">
        <v>157536.32922652955</v>
      </c>
      <c r="M8" s="53">
        <v>171871.46377380902</v>
      </c>
      <c r="N8" s="53">
        <v>155799.53217845215</v>
      </c>
      <c r="O8" s="54">
        <v>242765.37286263477</v>
      </c>
      <c r="P8" s="54">
        <v>316254.71580656176</v>
      </c>
      <c r="Q8" s="64">
        <v>289475.33740412764</v>
      </c>
    </row>
    <row r="9" spans="2:18" ht="15" customHeight="1" x14ac:dyDescent="0.3">
      <c r="B9" s="140"/>
      <c r="C9" s="21" t="s">
        <v>16</v>
      </c>
      <c r="D9" s="40"/>
      <c r="E9" s="40">
        <v>4160221.79</v>
      </c>
      <c r="F9" s="41">
        <v>5110823.6399999997</v>
      </c>
      <c r="H9" s="63" t="s">
        <v>15</v>
      </c>
      <c r="I9" s="52">
        <v>705916.05847535573</v>
      </c>
      <c r="J9" s="52">
        <v>705916.05847535573</v>
      </c>
      <c r="K9" s="52">
        <v>705916.05847535573</v>
      </c>
      <c r="L9" s="53"/>
      <c r="M9" s="53"/>
      <c r="N9" s="53"/>
      <c r="O9" s="54"/>
      <c r="P9" s="54"/>
      <c r="Q9" s="64"/>
    </row>
    <row r="10" spans="2:18" ht="14.4" x14ac:dyDescent="0.3">
      <c r="B10" s="140"/>
      <c r="C10" s="21" t="s">
        <v>9</v>
      </c>
      <c r="D10" s="6">
        <f>IFERROR(D9/D8,0)</f>
        <v>0</v>
      </c>
      <c r="E10" s="6">
        <f t="shared" ref="E10:F10" si="2">IFERROR(E9/E8,0)</f>
        <v>0.70410662573238336</v>
      </c>
      <c r="F10" s="7">
        <f t="shared" si="2"/>
        <v>0.71660378520580748</v>
      </c>
      <c r="H10" s="90" t="s">
        <v>44</v>
      </c>
      <c r="I10" s="91"/>
      <c r="J10" s="91"/>
      <c r="K10" s="95">
        <f>SUM(I3:K9)</f>
        <v>4606389.7450567679</v>
      </c>
      <c r="L10" s="96"/>
      <c r="M10" s="96"/>
      <c r="N10" s="96">
        <f>SUM(L3:N9)</f>
        <v>2251247.3251787908</v>
      </c>
      <c r="O10" s="97"/>
      <c r="P10" s="97"/>
      <c r="Q10" s="98">
        <f>SUM(O3:Q9)</f>
        <v>4436015.4260733239</v>
      </c>
    </row>
    <row r="11" spans="2:18" ht="14.4" x14ac:dyDescent="0.3">
      <c r="B11" s="140"/>
      <c r="C11" s="22" t="s">
        <v>17</v>
      </c>
      <c r="D11" s="23">
        <v>0</v>
      </c>
      <c r="E11" s="23">
        <v>0.4</v>
      </c>
      <c r="F11" s="24">
        <v>0.4</v>
      </c>
      <c r="H11" s="63" t="s">
        <v>15</v>
      </c>
      <c r="I11" s="52"/>
      <c r="J11" s="52"/>
      <c r="K11" s="52"/>
      <c r="L11" s="53">
        <v>1883442.5705245407</v>
      </c>
      <c r="M11" s="53">
        <v>1786622.6353679905</v>
      </c>
      <c r="N11" s="53">
        <v>2238445.8604146563</v>
      </c>
      <c r="O11" s="54">
        <v>2174425.4129901943</v>
      </c>
      <c r="P11" s="54">
        <v>2296634.2790561276</v>
      </c>
      <c r="Q11" s="64">
        <v>2660947.9047767669</v>
      </c>
    </row>
    <row r="12" spans="2:18" ht="14.4" x14ac:dyDescent="0.3">
      <c r="B12" s="140"/>
      <c r="H12" s="92" t="s">
        <v>14</v>
      </c>
      <c r="I12" s="93"/>
      <c r="J12" s="93"/>
      <c r="K12" s="93"/>
      <c r="L12" s="94"/>
      <c r="M12" s="94"/>
      <c r="N12" s="99">
        <f>SUM(L11:N11)</f>
        <v>5908511.0663071871</v>
      </c>
      <c r="O12" s="100"/>
      <c r="P12" s="100"/>
      <c r="Q12" s="101">
        <f>SUM(O11:Q11)</f>
        <v>7132007.5968230888</v>
      </c>
    </row>
    <row r="13" spans="2:18" ht="14.4" x14ac:dyDescent="0.3">
      <c r="B13" s="140"/>
      <c r="C13" s="20" t="s">
        <v>18</v>
      </c>
      <c r="D13" s="16">
        <v>3600</v>
      </c>
      <c r="E13" s="16">
        <v>3600</v>
      </c>
      <c r="F13" s="17">
        <v>3600</v>
      </c>
    </row>
    <row r="14" spans="2:18" ht="15" customHeight="1" x14ac:dyDescent="0.3">
      <c r="B14" s="140"/>
      <c r="C14" s="21" t="s">
        <v>19</v>
      </c>
      <c r="D14" s="8">
        <f>IF(D5&lt;D31,0,IF(D5&gt;D33,1.25,IF(D5&gt;D32,1.15,1)))</f>
        <v>1</v>
      </c>
      <c r="E14" s="8">
        <f>IF(E17&lt;E31,0,IF(E17&gt;E33,1.25,IF(E17&gt;E32,1.15,1)))</f>
        <v>1.1499999999999999</v>
      </c>
      <c r="F14" s="9">
        <f>IF(F17&lt;F31,0,IF(F17&gt;F33,1.25,IF(F17&gt;F32,1.15,1)))</f>
        <v>1</v>
      </c>
    </row>
    <row r="15" spans="2:18" ht="14.4" x14ac:dyDescent="0.3">
      <c r="B15" s="141"/>
      <c r="C15" s="27" t="s">
        <v>20</v>
      </c>
      <c r="D15" s="10">
        <f>D13*D14</f>
        <v>3600</v>
      </c>
      <c r="E15" s="10">
        <f t="shared" ref="E15:F15" si="3">E13*E14</f>
        <v>4140</v>
      </c>
      <c r="F15" s="11">
        <f t="shared" si="3"/>
        <v>3600</v>
      </c>
    </row>
    <row r="16" spans="2:18" ht="14.4" x14ac:dyDescent="0.3">
      <c r="C16" s="25"/>
      <c r="F16" s="26"/>
      <c r="H16" s="51"/>
    </row>
    <row r="17" spans="2:8" ht="14.4" x14ac:dyDescent="0.3">
      <c r="C17" s="84" t="s">
        <v>21</v>
      </c>
      <c r="D17" s="85">
        <f>(D6*D5) + (D10*D11)</f>
        <v>0.48872272095861402</v>
      </c>
      <c r="E17" s="85">
        <f t="shared" ref="E17:F17" si="4">(E6*E5) + (E10*E11)</f>
        <v>0.87413030150829396</v>
      </c>
      <c r="F17" s="86">
        <f t="shared" si="4"/>
        <v>0.83951444855968416</v>
      </c>
    </row>
    <row r="18" spans="2:8" ht="14.4" x14ac:dyDescent="0.3">
      <c r="C18" s="87" t="s">
        <v>22</v>
      </c>
      <c r="D18" s="88">
        <f>IF(D5&lt;D31,0,D17*D15)</f>
        <v>1759.4017954510105</v>
      </c>
      <c r="E18" s="88">
        <f>IF(E17&lt;E31,0,E17*E15)</f>
        <v>3618.8994482443368</v>
      </c>
      <c r="F18" s="89">
        <f>IF(F17&lt;F31,0,F17*F15)</f>
        <v>3022.2520148148628</v>
      </c>
    </row>
    <row r="19" spans="2:8" ht="14.4" x14ac:dyDescent="0.3"/>
    <row r="20" spans="2:8" ht="14.4" x14ac:dyDescent="0.3">
      <c r="C20" s="30" t="s">
        <v>23</v>
      </c>
      <c r="D20" s="4">
        <f>D18</f>
        <v>1759.4017954510105</v>
      </c>
      <c r="E20" s="4">
        <f t="shared" ref="E20:F20" si="5">E18</f>
        <v>3618.8994482443368</v>
      </c>
      <c r="F20" s="5">
        <f t="shared" si="5"/>
        <v>3022.2520148148628</v>
      </c>
    </row>
    <row r="21" spans="2:8" ht="14.4" x14ac:dyDescent="0.3">
      <c r="C21" s="31" t="s">
        <v>24</v>
      </c>
      <c r="D21" s="2"/>
      <c r="E21" s="2"/>
      <c r="F21" s="3"/>
    </row>
    <row r="22" spans="2:8" ht="14.4" x14ac:dyDescent="0.3">
      <c r="C22" s="32" t="s">
        <v>25</v>
      </c>
      <c r="D22" s="14">
        <f>SUM(D20:D21)</f>
        <v>1759.4017954510105</v>
      </c>
      <c r="E22" s="14">
        <f>SUM(E20:E21)</f>
        <v>3618.8994482443368</v>
      </c>
      <c r="F22" s="15">
        <f>SUM(F20:F21)</f>
        <v>3022.2520148148628</v>
      </c>
    </row>
    <row r="23" spans="2:8" ht="14.4" x14ac:dyDescent="0.3"/>
    <row r="24" spans="2:8" ht="14.4" x14ac:dyDescent="0.3">
      <c r="B24" s="142" t="s">
        <v>26</v>
      </c>
      <c r="C24" s="42" t="s">
        <v>27</v>
      </c>
      <c r="D24" s="43">
        <v>20500000</v>
      </c>
      <c r="E24" s="43"/>
      <c r="F24" s="44"/>
    </row>
    <row r="25" spans="2:8" ht="14.4" x14ac:dyDescent="0.3">
      <c r="B25" s="143"/>
      <c r="C25" s="45" t="s">
        <v>28</v>
      </c>
      <c r="D25" s="2">
        <v>22000000</v>
      </c>
      <c r="E25" s="2"/>
      <c r="F25" s="46"/>
    </row>
    <row r="26" spans="2:8" ht="14.4" x14ac:dyDescent="0.3">
      <c r="B26" s="143"/>
      <c r="C26" s="45" t="s">
        <v>29</v>
      </c>
      <c r="D26" s="6">
        <f t="shared" ref="D26:E26" si="6">IFERROR(D25/D24,0)</f>
        <v>1.0731707317073171</v>
      </c>
      <c r="E26" s="6">
        <f t="shared" si="6"/>
        <v>0</v>
      </c>
      <c r="F26" s="47">
        <f>IFERROR(F25/F24,0)</f>
        <v>0</v>
      </c>
      <c r="H26" s="51"/>
    </row>
    <row r="27" spans="2:8" ht="14.4" x14ac:dyDescent="0.3">
      <c r="B27" s="144"/>
      <c r="C27" s="48" t="s">
        <v>30</v>
      </c>
      <c r="D27" s="49">
        <f>IF(D26&lt;D36,0,D21*D35)</f>
        <v>0</v>
      </c>
      <c r="E27" s="49">
        <f t="shared" ref="E27:F27" si="7">IF(E26&lt;E36,0,E21*E35)</f>
        <v>0</v>
      </c>
      <c r="F27" s="50">
        <f t="shared" si="7"/>
        <v>0</v>
      </c>
    </row>
    <row r="28" spans="2:8" ht="14.4" x14ac:dyDescent="0.3">
      <c r="D28" s="83"/>
      <c r="E28" s="83"/>
      <c r="F28" s="37"/>
    </row>
    <row r="29" spans="2:8" ht="14.4" x14ac:dyDescent="0.3"/>
    <row r="30" spans="2:8" ht="14.4" x14ac:dyDescent="0.3">
      <c r="C30" s="33" t="s">
        <v>31</v>
      </c>
      <c r="D30" s="19" t="s">
        <v>1</v>
      </c>
      <c r="E30" s="19" t="s">
        <v>2</v>
      </c>
      <c r="F30" s="19" t="s">
        <v>3</v>
      </c>
      <c r="G30" s="19"/>
    </row>
    <row r="31" spans="2:8" ht="14.4" x14ac:dyDescent="0.3">
      <c r="C31" s="74" t="s">
        <v>32</v>
      </c>
      <c r="D31" s="75">
        <v>0.3</v>
      </c>
      <c r="E31" s="75">
        <v>0.75</v>
      </c>
      <c r="F31" s="76">
        <v>0.8</v>
      </c>
      <c r="G31" s="34" t="s">
        <v>33</v>
      </c>
    </row>
    <row r="32" spans="2:8" ht="14.4" x14ac:dyDescent="0.3">
      <c r="C32" s="77" t="s">
        <v>34</v>
      </c>
      <c r="D32" s="36">
        <v>0.6</v>
      </c>
      <c r="E32" s="36">
        <v>0.85</v>
      </c>
      <c r="F32" s="78">
        <v>0.9</v>
      </c>
      <c r="G32" s="34" t="s">
        <v>35</v>
      </c>
    </row>
    <row r="33" spans="3:7" ht="14.4" x14ac:dyDescent="0.3">
      <c r="C33" s="77" t="s">
        <v>36</v>
      </c>
      <c r="D33" s="36">
        <v>0.8</v>
      </c>
      <c r="E33" s="36">
        <v>1</v>
      </c>
      <c r="F33" s="78">
        <v>1</v>
      </c>
      <c r="G33" s="34" t="s">
        <v>35</v>
      </c>
    </row>
    <row r="34" spans="3:7" ht="14.4" x14ac:dyDescent="0.3">
      <c r="C34" s="77" t="s">
        <v>37</v>
      </c>
      <c r="D34" s="35" t="s">
        <v>38</v>
      </c>
      <c r="E34" s="35" t="s">
        <v>38</v>
      </c>
      <c r="F34" s="79" t="s">
        <v>38</v>
      </c>
      <c r="G34" s="34" t="s">
        <v>39</v>
      </c>
    </row>
    <row r="35" spans="3:7" ht="14.4" x14ac:dyDescent="0.3">
      <c r="C35" s="77" t="s">
        <v>40</v>
      </c>
      <c r="D35" s="35">
        <v>1</v>
      </c>
      <c r="E35" s="35">
        <v>1</v>
      </c>
      <c r="F35" s="79">
        <v>1</v>
      </c>
      <c r="G35" s="34" t="s">
        <v>41</v>
      </c>
    </row>
    <row r="36" spans="3:7" ht="14.4" x14ac:dyDescent="0.3">
      <c r="C36" s="80" t="s">
        <v>42</v>
      </c>
      <c r="D36" s="81">
        <v>1.07</v>
      </c>
      <c r="E36" s="81">
        <v>1</v>
      </c>
      <c r="F36" s="82">
        <v>1</v>
      </c>
      <c r="G36" s="34" t="s">
        <v>43</v>
      </c>
    </row>
    <row r="37" spans="3:7" ht="14.4" x14ac:dyDescent="0.3"/>
  </sheetData>
  <sheetProtection algorithmName="SHA-512" hashValue="/gQ5ncQ2tE9GHqVmlcRam93BQoCLP8gdXvtcz97mAubZnqwzyQ2ixhIzO54+w7VMivbGw+T5Agdt1xhzQEHc6w==" saltValue="RlBroiWJxIge+2lw/3urVw==" spinCount="100000" sheet="1" formatCells="0" formatColumns="0" formatRows="0"/>
  <protectedRanges>
    <protectedRange sqref="I9:K9 L11:Q11 I7:Q8 I3:Q3" name="Range1"/>
  </protectedRanges>
  <mergeCells count="2">
    <mergeCell ref="B24:B27"/>
    <mergeCell ref="B3:B15"/>
  </mergeCells>
  <dataValidations count="1">
    <dataValidation type="decimal" allowBlank="1" showInputMessage="1" showErrorMessage="1" sqref="D21:F21 D8:F9 D13:F13 D25:F25 D3:F4" xr:uid="{041FE162-F127-4CF6-8EFF-D5A1D7C4F2A9}">
      <formula1>0</formula1>
      <formula2>100000000</formula2>
    </dataValidation>
  </dataValidations>
  <pageMargins left="0.511811024" right="0.511811024" top="0.78740157499999996" bottom="0.78740157499999996" header="0.31496062000000002" footer="0.31496062000000002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429E0-8529-4928-A86F-E0710A61F1DA}">
  <dimension ref="B2:Q37"/>
  <sheetViews>
    <sheetView showGridLines="0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F16" sqref="F16"/>
    </sheetView>
  </sheetViews>
  <sheetFormatPr defaultColWidth="8.88671875" defaultRowHeight="15" customHeight="1" x14ac:dyDescent="0.3"/>
  <cols>
    <col min="1" max="1" width="3.6640625" customWidth="1"/>
    <col min="3" max="3" width="33.33203125" bestFit="1" customWidth="1"/>
    <col min="4" max="4" width="17.6640625" style="1" bestFit="1" customWidth="1"/>
    <col min="5" max="5" width="15.88671875" style="1" bestFit="1" customWidth="1"/>
    <col min="6" max="6" width="15.44140625" style="1" bestFit="1" customWidth="1"/>
    <col min="8" max="17" width="16.44140625" bestFit="1" customWidth="1"/>
  </cols>
  <sheetData>
    <row r="2" spans="2:17" ht="14.4" x14ac:dyDescent="0.3">
      <c r="C2" s="18"/>
      <c r="D2" s="19" t="s">
        <v>1</v>
      </c>
      <c r="E2" s="19" t="s">
        <v>2</v>
      </c>
      <c r="F2" s="19" t="s">
        <v>3</v>
      </c>
      <c r="H2" s="58"/>
      <c r="I2" s="59">
        <v>45383</v>
      </c>
      <c r="J2" s="59">
        <v>45413</v>
      </c>
      <c r="K2" s="59">
        <v>45444</v>
      </c>
      <c r="L2" s="60">
        <v>45474</v>
      </c>
      <c r="M2" s="60">
        <v>45505</v>
      </c>
      <c r="N2" s="60">
        <v>45536</v>
      </c>
      <c r="O2" s="61">
        <v>45566</v>
      </c>
      <c r="P2" s="61">
        <v>45597</v>
      </c>
      <c r="Q2" s="62">
        <v>45627</v>
      </c>
    </row>
    <row r="3" spans="2:17" ht="14.4" x14ac:dyDescent="0.3">
      <c r="B3" s="146" t="s">
        <v>4</v>
      </c>
      <c r="C3" s="20" t="s">
        <v>44</v>
      </c>
      <c r="D3" s="38">
        <f>K7</f>
        <v>4606389.7450567679</v>
      </c>
      <c r="E3" s="38">
        <f>N7</f>
        <v>4978926</v>
      </c>
      <c r="F3" s="39">
        <f>Q7</f>
        <v>7091120.7538752966</v>
      </c>
      <c r="H3" s="63" t="s">
        <v>45</v>
      </c>
      <c r="I3" s="52">
        <v>229793.71007999996</v>
      </c>
      <c r="J3" s="52">
        <v>310239.11222676799</v>
      </c>
      <c r="K3" s="52">
        <v>345315.60133447504</v>
      </c>
      <c r="L3" s="53">
        <v>225938</v>
      </c>
      <c r="M3" s="53">
        <v>233101</v>
      </c>
      <c r="N3" s="53">
        <v>240442</v>
      </c>
      <c r="O3" s="54">
        <v>469407.00353729748</v>
      </c>
      <c r="P3" s="54">
        <v>505616.89603183506</v>
      </c>
      <c r="Q3" s="64">
        <v>269074.21051981841</v>
      </c>
    </row>
    <row r="4" spans="2:17" ht="14.4" x14ac:dyDescent="0.3">
      <c r="B4" s="147"/>
      <c r="C4" s="21" t="s">
        <v>46</v>
      </c>
      <c r="D4" s="40">
        <v>3127985.73</v>
      </c>
      <c r="E4" s="40"/>
      <c r="F4" s="41"/>
      <c r="H4" s="63" t="s">
        <v>12</v>
      </c>
      <c r="I4" s="52">
        <v>524538.00126000005</v>
      </c>
      <c r="J4" s="52">
        <v>515315.35508400004</v>
      </c>
      <c r="K4" s="52">
        <v>563439.78964545764</v>
      </c>
      <c r="L4" s="53">
        <v>416772</v>
      </c>
      <c r="M4" s="53">
        <v>428304</v>
      </c>
      <c r="N4" s="53">
        <v>425786</v>
      </c>
      <c r="O4" s="54">
        <v>789259.84227552486</v>
      </c>
      <c r="P4" s="54">
        <v>832420.21606914222</v>
      </c>
      <c r="Q4" s="64">
        <v>626263.26723831519</v>
      </c>
    </row>
    <row r="5" spans="2:17" ht="14.4" x14ac:dyDescent="0.3">
      <c r="B5" s="147"/>
      <c r="C5" s="21" t="s">
        <v>9</v>
      </c>
      <c r="D5" s="6">
        <f>D4/D3</f>
        <v>0.67905364138080582</v>
      </c>
      <c r="E5" s="6">
        <f>E4/E3</f>
        <v>0</v>
      </c>
      <c r="F5" s="7">
        <f>F4/F3</f>
        <v>0</v>
      </c>
      <c r="H5" s="63" t="s">
        <v>47</v>
      </c>
      <c r="I5" s="52">
        <v>705916.05847535573</v>
      </c>
      <c r="J5" s="52">
        <v>705916.05847535573</v>
      </c>
      <c r="K5" s="52">
        <v>705916.05847535573</v>
      </c>
      <c r="L5" s="53">
        <v>1002861</v>
      </c>
      <c r="M5" s="53">
        <v>1002861</v>
      </c>
      <c r="N5" s="53">
        <v>1002861</v>
      </c>
      <c r="O5" s="54">
        <v>1199693.1060677876</v>
      </c>
      <c r="P5" s="54">
        <v>1199693.1060677876</v>
      </c>
      <c r="Q5" s="64">
        <v>1199693.1060677876</v>
      </c>
    </row>
    <row r="6" spans="2:17" ht="14.4" x14ac:dyDescent="0.3">
      <c r="B6" s="147"/>
      <c r="C6" s="22" t="s">
        <v>11</v>
      </c>
      <c r="D6" s="23">
        <v>1</v>
      </c>
      <c r="E6" s="23">
        <v>1</v>
      </c>
      <c r="F6" s="24">
        <v>1</v>
      </c>
      <c r="H6" s="65" t="s">
        <v>48</v>
      </c>
      <c r="I6" s="55">
        <f>SUM(I3:I5)</f>
        <v>1460247.7698153558</v>
      </c>
      <c r="J6" s="55">
        <f t="shared" ref="J6:Q6" si="0">SUM(J3:J5)</f>
        <v>1531470.5257861237</v>
      </c>
      <c r="K6" s="55">
        <f t="shared" si="0"/>
        <v>1614671.4494552882</v>
      </c>
      <c r="L6" s="56">
        <f t="shared" si="0"/>
        <v>1645571</v>
      </c>
      <c r="M6" s="56">
        <f t="shared" si="0"/>
        <v>1664266</v>
      </c>
      <c r="N6" s="56">
        <f t="shared" si="0"/>
        <v>1669089</v>
      </c>
      <c r="O6" s="57">
        <f t="shared" si="0"/>
        <v>2458359.9518806096</v>
      </c>
      <c r="P6" s="57">
        <f t="shared" si="0"/>
        <v>2537730.2181687648</v>
      </c>
      <c r="Q6" s="66">
        <f t="shared" si="0"/>
        <v>2095030.5838259212</v>
      </c>
    </row>
    <row r="7" spans="2:17" ht="14.4" x14ac:dyDescent="0.3">
      <c r="B7" s="147"/>
      <c r="C7" s="25"/>
      <c r="F7" s="26"/>
      <c r="H7" s="67"/>
      <c r="I7" s="68"/>
      <c r="J7" s="68"/>
      <c r="K7" s="69">
        <f>SUM(I6:K6)</f>
        <v>4606389.7450567679</v>
      </c>
      <c r="L7" s="70"/>
      <c r="M7" s="70"/>
      <c r="N7" s="71">
        <f>SUM(L6:N6)</f>
        <v>4978926</v>
      </c>
      <c r="O7" s="72"/>
      <c r="P7" s="72"/>
      <c r="Q7" s="73">
        <f>SUM(O6:Q6)</f>
        <v>7091120.7538752966</v>
      </c>
    </row>
    <row r="8" spans="2:17" ht="14.4" x14ac:dyDescent="0.3">
      <c r="B8" s="147"/>
      <c r="C8" s="20" t="s">
        <v>18</v>
      </c>
      <c r="D8" s="16">
        <v>3600</v>
      </c>
      <c r="E8" s="16">
        <v>3600</v>
      </c>
      <c r="F8" s="17">
        <v>3600</v>
      </c>
      <c r="I8" s="51"/>
      <c r="J8" s="51"/>
      <c r="K8" s="51"/>
      <c r="L8" s="51"/>
      <c r="M8" s="51"/>
      <c r="N8" s="51"/>
      <c r="O8" s="51"/>
      <c r="P8" s="51"/>
      <c r="Q8" s="51"/>
    </row>
    <row r="9" spans="2:17" ht="14.4" x14ac:dyDescent="0.3">
      <c r="B9" s="147"/>
      <c r="C9" s="21" t="s">
        <v>19</v>
      </c>
      <c r="D9" s="8">
        <f>IF(D5&lt;D26,0,IF(D5&gt;D28,1.25,IF(D5&gt;D27,1.15,1)))</f>
        <v>1.1499999999999999</v>
      </c>
      <c r="E9" s="8">
        <f>IF(E5&lt;E26,0,IF(E5&gt;E28,1.25,IF(E5&gt;E27,1.15,1)))</f>
        <v>0</v>
      </c>
      <c r="F9" s="9">
        <f>IF(F5&lt;F26,0,IF(F5&gt;F28,1.25,IF(F5&gt;F27,1.15,1)))</f>
        <v>0</v>
      </c>
    </row>
    <row r="10" spans="2:17" ht="14.4" x14ac:dyDescent="0.3">
      <c r="B10" s="147"/>
      <c r="C10" s="27" t="s">
        <v>20</v>
      </c>
      <c r="D10" s="10">
        <f>D8*D9</f>
        <v>4140</v>
      </c>
      <c r="E10" s="10">
        <f t="shared" ref="E10:F10" si="1">E8*E9</f>
        <v>0</v>
      </c>
      <c r="F10" s="11">
        <f t="shared" si="1"/>
        <v>0</v>
      </c>
    </row>
    <row r="11" spans="2:17" ht="4.95" customHeight="1" x14ac:dyDescent="0.3">
      <c r="B11" s="147"/>
      <c r="C11" s="25"/>
      <c r="F11" s="26"/>
    </row>
    <row r="12" spans="2:17" ht="14.4" x14ac:dyDescent="0.3">
      <c r="B12" s="147"/>
      <c r="C12" s="28" t="s">
        <v>21</v>
      </c>
      <c r="D12" s="12">
        <f>D6*D5</f>
        <v>0.67905364138080582</v>
      </c>
      <c r="E12" s="12">
        <f t="shared" ref="E12:F12" si="2">E6*E5</f>
        <v>0</v>
      </c>
      <c r="F12" s="13">
        <f t="shared" si="2"/>
        <v>0</v>
      </c>
    </row>
    <row r="13" spans="2:17" ht="14.4" x14ac:dyDescent="0.3">
      <c r="B13" s="148"/>
      <c r="C13" s="29" t="s">
        <v>22</v>
      </c>
      <c r="D13" s="10">
        <f>IF(D5&lt;D26,0,D12*D10)</f>
        <v>2811.2820753165361</v>
      </c>
      <c r="E13" s="10">
        <f>IF(E5&lt;E26,0,E12*E10)</f>
        <v>0</v>
      </c>
      <c r="F13" s="11">
        <f>IF(F5&lt;F26,0,F12*F10)</f>
        <v>0</v>
      </c>
    </row>
    <row r="14" spans="2:17" ht="4.2" customHeight="1" x14ac:dyDescent="0.3"/>
    <row r="15" spans="2:17" ht="14.4" x14ac:dyDescent="0.3">
      <c r="C15" s="30" t="s">
        <v>23</v>
      </c>
      <c r="D15" s="4">
        <f>D13</f>
        <v>2811.2820753165361</v>
      </c>
      <c r="E15" s="4">
        <f t="shared" ref="E15:F15" si="3">E13</f>
        <v>0</v>
      </c>
      <c r="F15" s="5">
        <f t="shared" si="3"/>
        <v>0</v>
      </c>
    </row>
    <row r="16" spans="2:17" ht="14.4" x14ac:dyDescent="0.3">
      <c r="C16" s="31" t="s">
        <v>24</v>
      </c>
      <c r="D16" s="2"/>
      <c r="E16" s="2"/>
      <c r="F16" s="3"/>
    </row>
    <row r="17" spans="2:8" ht="14.4" x14ac:dyDescent="0.3">
      <c r="C17" s="32" t="s">
        <v>25</v>
      </c>
      <c r="D17" s="14">
        <f>SUM(D15:D16)</f>
        <v>2811.2820753165361</v>
      </c>
      <c r="E17" s="14">
        <f>SUM(E15:E16)</f>
        <v>0</v>
      </c>
      <c r="F17" s="15">
        <f>SUM(F15:F16)</f>
        <v>0</v>
      </c>
    </row>
    <row r="18" spans="2:8" ht="4.95" customHeight="1" x14ac:dyDescent="0.3"/>
    <row r="19" spans="2:8" ht="14.4" x14ac:dyDescent="0.3">
      <c r="B19" s="142" t="s">
        <v>26</v>
      </c>
      <c r="C19" s="42" t="s">
        <v>27</v>
      </c>
      <c r="D19" s="43">
        <v>20500000</v>
      </c>
      <c r="E19" s="43"/>
      <c r="F19" s="44"/>
    </row>
    <row r="20" spans="2:8" ht="14.4" x14ac:dyDescent="0.3">
      <c r="B20" s="143"/>
      <c r="C20" s="45" t="s">
        <v>28</v>
      </c>
      <c r="D20" s="2">
        <v>22000000</v>
      </c>
      <c r="E20" s="2"/>
      <c r="F20" s="46"/>
      <c r="H20" s="51"/>
    </row>
    <row r="21" spans="2:8" ht="14.4" x14ac:dyDescent="0.3">
      <c r="B21" s="143"/>
      <c r="C21" s="45" t="s">
        <v>29</v>
      </c>
      <c r="D21" s="6">
        <f t="shared" ref="D21:E21" si="4">IFERROR(D20/D19,0)</f>
        <v>1.0731707317073171</v>
      </c>
      <c r="E21" s="6">
        <f t="shared" si="4"/>
        <v>0</v>
      </c>
      <c r="F21" s="47">
        <f>IFERROR(F20/F19,0)</f>
        <v>0</v>
      </c>
    </row>
    <row r="22" spans="2:8" ht="14.4" x14ac:dyDescent="0.3">
      <c r="B22" s="144"/>
      <c r="C22" s="48" t="s">
        <v>30</v>
      </c>
      <c r="D22" s="49">
        <f>IF(D21&lt;D31,0,D16*D30)</f>
        <v>0</v>
      </c>
      <c r="E22" s="49">
        <f>IF(E21&lt;E31,0,E16*E30*E21)</f>
        <v>0</v>
      </c>
      <c r="F22" s="50">
        <f>IF(F21&lt;F31,0,F16*F30*F21)</f>
        <v>0</v>
      </c>
    </row>
    <row r="23" spans="2:8" ht="14.4" x14ac:dyDescent="0.3">
      <c r="D23" s="145"/>
      <c r="E23" s="145"/>
      <c r="F23" s="37"/>
    </row>
    <row r="24" spans="2:8" ht="14.4" x14ac:dyDescent="0.3"/>
    <row r="25" spans="2:8" ht="14.4" x14ac:dyDescent="0.3">
      <c r="C25" s="33" t="s">
        <v>31</v>
      </c>
      <c r="D25" s="19" t="s">
        <v>1</v>
      </c>
      <c r="E25" s="19" t="s">
        <v>2</v>
      </c>
      <c r="F25" s="19" t="s">
        <v>3</v>
      </c>
      <c r="G25" s="19"/>
    </row>
    <row r="26" spans="2:8" ht="14.4" x14ac:dyDescent="0.3">
      <c r="C26" s="74" t="s">
        <v>32</v>
      </c>
      <c r="D26" s="75">
        <v>0.3</v>
      </c>
      <c r="E26" s="75">
        <v>0.33</v>
      </c>
      <c r="F26" s="76">
        <v>0.36</v>
      </c>
      <c r="G26" s="34" t="s">
        <v>33</v>
      </c>
    </row>
    <row r="27" spans="2:8" ht="14.4" x14ac:dyDescent="0.3">
      <c r="C27" s="77" t="s">
        <v>34</v>
      </c>
      <c r="D27" s="36">
        <v>0.6</v>
      </c>
      <c r="E27" s="36">
        <v>0.65</v>
      </c>
      <c r="F27" s="78">
        <v>0.7</v>
      </c>
      <c r="G27" s="34" t="s">
        <v>35</v>
      </c>
    </row>
    <row r="28" spans="2:8" ht="14.4" x14ac:dyDescent="0.3">
      <c r="C28" s="77" t="s">
        <v>36</v>
      </c>
      <c r="D28" s="36">
        <v>0.8</v>
      </c>
      <c r="E28" s="36">
        <v>0.85</v>
      </c>
      <c r="F28" s="78">
        <v>0.9</v>
      </c>
      <c r="G28" s="34" t="s">
        <v>35</v>
      </c>
    </row>
    <row r="29" spans="2:8" ht="14.4" x14ac:dyDescent="0.3">
      <c r="C29" s="77" t="s">
        <v>37</v>
      </c>
      <c r="D29" s="35" t="s">
        <v>38</v>
      </c>
      <c r="E29" s="35" t="s">
        <v>38</v>
      </c>
      <c r="F29" s="79" t="s">
        <v>38</v>
      </c>
      <c r="G29" s="34" t="s">
        <v>39</v>
      </c>
    </row>
    <row r="30" spans="2:8" ht="14.4" x14ac:dyDescent="0.3">
      <c r="C30" s="77" t="s">
        <v>40</v>
      </c>
      <c r="D30" s="35">
        <v>1</v>
      </c>
      <c r="E30" s="35">
        <v>1</v>
      </c>
      <c r="F30" s="79">
        <v>1</v>
      </c>
      <c r="G30" s="34" t="s">
        <v>41</v>
      </c>
    </row>
    <row r="31" spans="2:8" ht="14.4" x14ac:dyDescent="0.3">
      <c r="C31" s="80" t="s">
        <v>42</v>
      </c>
      <c r="D31" s="81">
        <v>1.0681818181818183</v>
      </c>
      <c r="E31" s="81">
        <v>1</v>
      </c>
      <c r="F31" s="82">
        <v>1</v>
      </c>
      <c r="G31" s="34" t="s">
        <v>43</v>
      </c>
    </row>
    <row r="32" spans="2:8" ht="14.4" x14ac:dyDescent="0.3"/>
    <row r="33" ht="14.4" x14ac:dyDescent="0.3"/>
    <row r="34" ht="14.4" x14ac:dyDescent="0.3"/>
    <row r="35" ht="14.4" x14ac:dyDescent="0.3"/>
    <row r="36" ht="14.4" x14ac:dyDescent="0.3"/>
    <row r="37" ht="14.4" x14ac:dyDescent="0.3"/>
  </sheetData>
  <sheetProtection algorithmName="SHA-512" hashValue="/gQ5ncQ2tE9GHqVmlcRam93BQoCLP8gdXvtcz97mAubZnqwzyQ2ixhIzO54+w7VMivbGw+T5Agdt1xhzQEHc6w==" saltValue="RlBroiWJxIge+2lw/3urVw==" spinCount="100000" sheet="1" formatCells="0" formatColumns="0" formatRows="0"/>
  <protectedRanges>
    <protectedRange sqref="I3:Q5" name="Range1"/>
  </protectedRanges>
  <mergeCells count="3">
    <mergeCell ref="B19:B22"/>
    <mergeCell ref="D23:E23"/>
    <mergeCell ref="B3:B13"/>
  </mergeCells>
  <dataValidations count="1">
    <dataValidation type="decimal" allowBlank="1" showInputMessage="1" showErrorMessage="1" sqref="D16:F16 D3:F4 D8:F8 D20:F20" xr:uid="{1B95D1C4-40DF-4C09-8EF5-DC740E246DA6}">
      <formula1>0</formula1>
      <formula2>100000000</formula2>
    </dataValidation>
  </dataValidation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6F20B6-16C0-4DA6-A7D8-0BE09AA0D869}">
  <dimension ref="B1:U37"/>
  <sheetViews>
    <sheetView showGridLines="0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G14" sqref="G14"/>
    </sheetView>
  </sheetViews>
  <sheetFormatPr defaultColWidth="8.88671875" defaultRowHeight="15" customHeight="1" x14ac:dyDescent="0.3"/>
  <cols>
    <col min="1" max="1" width="3.6640625" customWidth="1"/>
    <col min="2" max="2" width="9.109375"/>
    <col min="3" max="3" width="33.33203125" bestFit="1" customWidth="1"/>
    <col min="4" max="4" width="16.44140625" customWidth="1"/>
    <col min="5" max="5" width="16.44140625" style="1" bestFit="1" customWidth="1"/>
    <col min="6" max="7" width="15.44140625" style="1" customWidth="1"/>
    <col min="8" max="8" width="9.109375"/>
    <col min="9" max="9" width="10.6640625" bestFit="1" customWidth="1"/>
    <col min="10" max="10" width="15.44140625" customWidth="1"/>
    <col min="11" max="11" width="13.6640625" customWidth="1"/>
    <col min="12" max="12" width="15.44140625" customWidth="1"/>
    <col min="13" max="14" width="15.44140625" bestFit="1" customWidth="1"/>
    <col min="15" max="15" width="15.5546875" bestFit="1" customWidth="1"/>
    <col min="16" max="17" width="15.44140625" bestFit="1" customWidth="1"/>
    <col min="18" max="18" width="15.5546875" bestFit="1" customWidth="1"/>
    <col min="19" max="21" width="15.44140625" bestFit="1" customWidth="1"/>
  </cols>
  <sheetData>
    <row r="1" spans="2:21" ht="15" customHeight="1" x14ac:dyDescent="0.3">
      <c r="D1" s="1"/>
    </row>
    <row r="2" spans="2:21" ht="14.4" x14ac:dyDescent="0.3">
      <c r="C2" s="18"/>
      <c r="D2" s="19" t="s">
        <v>0</v>
      </c>
      <c r="E2" s="19" t="s">
        <v>1</v>
      </c>
      <c r="F2" s="19" t="s">
        <v>2</v>
      </c>
      <c r="G2" s="19" t="s">
        <v>3</v>
      </c>
      <c r="I2" s="58"/>
      <c r="J2" s="59">
        <v>45658</v>
      </c>
      <c r="K2" s="59">
        <f>EDATE(J2,1)</f>
        <v>45689</v>
      </c>
      <c r="L2" s="59">
        <f t="shared" ref="L2:U2" si="0">EDATE(K2,1)</f>
        <v>45717</v>
      </c>
      <c r="M2" s="60">
        <f t="shared" si="0"/>
        <v>45748</v>
      </c>
      <c r="N2" s="60">
        <f t="shared" si="0"/>
        <v>45778</v>
      </c>
      <c r="O2" s="60">
        <f t="shared" si="0"/>
        <v>45809</v>
      </c>
      <c r="P2" s="103">
        <f t="shared" si="0"/>
        <v>45839</v>
      </c>
      <c r="Q2" s="103">
        <f t="shared" si="0"/>
        <v>45870</v>
      </c>
      <c r="R2" s="103">
        <f t="shared" si="0"/>
        <v>45901</v>
      </c>
      <c r="S2" s="61">
        <f t="shared" si="0"/>
        <v>45931</v>
      </c>
      <c r="T2" s="61">
        <f t="shared" si="0"/>
        <v>45962</v>
      </c>
      <c r="U2" s="62">
        <f t="shared" si="0"/>
        <v>45992</v>
      </c>
    </row>
    <row r="3" spans="2:21" ht="15" customHeight="1" x14ac:dyDescent="0.3">
      <c r="B3" s="139" t="s">
        <v>4</v>
      </c>
      <c r="C3" s="20" t="s">
        <v>49</v>
      </c>
      <c r="D3" s="38"/>
      <c r="E3" s="38">
        <f>O9</f>
        <v>413800</v>
      </c>
      <c r="F3" s="38">
        <f>R9</f>
        <v>461055.41511634295</v>
      </c>
      <c r="G3" s="39">
        <f>U9</f>
        <v>502031.52078000811</v>
      </c>
      <c r="I3" s="63" t="s">
        <v>6</v>
      </c>
      <c r="J3" s="52">
        <v>16074</v>
      </c>
      <c r="K3" s="52">
        <v>19136</v>
      </c>
      <c r="L3" s="52">
        <v>21433</v>
      </c>
      <c r="M3" s="53">
        <v>13472</v>
      </c>
      <c r="N3" s="53">
        <v>14314</v>
      </c>
      <c r="O3" s="53">
        <v>14314</v>
      </c>
      <c r="P3" s="104">
        <v>15155.910000000002</v>
      </c>
      <c r="Q3" s="104">
        <v>18523.890000000003</v>
      </c>
      <c r="R3" s="104">
        <v>20376.279000000006</v>
      </c>
      <c r="S3" s="54">
        <v>21302.473500000004</v>
      </c>
      <c r="T3" s="54">
        <v>23154.862500000007</v>
      </c>
      <c r="U3" s="64">
        <v>19450.084500000004</v>
      </c>
    </row>
    <row r="4" spans="2:21" ht="15" customHeight="1" x14ac:dyDescent="0.3">
      <c r="B4" s="140"/>
      <c r="C4" s="21" t="s">
        <v>50</v>
      </c>
      <c r="D4" s="40"/>
      <c r="E4" s="129">
        <v>461332.43569999997</v>
      </c>
      <c r="F4" s="40"/>
      <c r="G4" s="41"/>
      <c r="I4" s="63" t="s">
        <v>8</v>
      </c>
      <c r="J4" s="52">
        <v>35925</v>
      </c>
      <c r="K4" s="52">
        <v>40322</v>
      </c>
      <c r="L4" s="52">
        <v>30438</v>
      </c>
      <c r="M4" s="53">
        <v>30798</v>
      </c>
      <c r="N4" s="53">
        <v>31185</v>
      </c>
      <c r="O4" s="53">
        <v>31567</v>
      </c>
      <c r="P4" s="104">
        <v>31909.430224310341</v>
      </c>
      <c r="Q4" s="104">
        <v>32304.140631746544</v>
      </c>
      <c r="R4" s="104">
        <v>32697.354808287837</v>
      </c>
      <c r="S4" s="54">
        <v>33061.834345905496</v>
      </c>
      <c r="T4" s="54">
        <v>33375.24169173323</v>
      </c>
      <c r="U4" s="64">
        <v>33673.590487194</v>
      </c>
    </row>
    <row r="5" spans="2:21" ht="15" customHeight="1" x14ac:dyDescent="0.3">
      <c r="B5" s="140"/>
      <c r="C5" s="21" t="s">
        <v>9</v>
      </c>
      <c r="D5" s="6">
        <f>IFERROR(D4/D3,0)</f>
        <v>0</v>
      </c>
      <c r="E5" s="6">
        <f>IFERROR(E4/E3,0)</f>
        <v>1.1148681384726919</v>
      </c>
      <c r="F5" s="6">
        <f t="shared" ref="F5:G5" si="1">IFERROR(F4/F3,0)</f>
        <v>0</v>
      </c>
      <c r="G5" s="7">
        <f t="shared" si="1"/>
        <v>0</v>
      </c>
      <c r="I5" s="63" t="s">
        <v>10</v>
      </c>
      <c r="J5" s="52">
        <v>36036</v>
      </c>
      <c r="K5" s="52">
        <v>36036</v>
      </c>
      <c r="L5" s="52">
        <v>40263</v>
      </c>
      <c r="M5" s="53">
        <v>37280</v>
      </c>
      <c r="N5" s="53">
        <v>25366</v>
      </c>
      <c r="O5" s="53">
        <v>23060</v>
      </c>
      <c r="P5" s="104">
        <v>18447.912000000004</v>
      </c>
      <c r="Q5" s="104">
        <v>13835.934000000003</v>
      </c>
      <c r="R5" s="104">
        <v>9223.9560000000019</v>
      </c>
      <c r="S5" s="54">
        <v>9500.6746800000019</v>
      </c>
      <c r="T5" s="54">
        <v>0</v>
      </c>
      <c r="U5" s="64">
        <v>0</v>
      </c>
    </row>
    <row r="6" spans="2:21" ht="15" customHeight="1" x14ac:dyDescent="0.3">
      <c r="B6" s="140"/>
      <c r="C6" s="22" t="s">
        <v>11</v>
      </c>
      <c r="D6" s="23">
        <v>1</v>
      </c>
      <c r="E6" s="23">
        <v>0.6</v>
      </c>
      <c r="F6" s="23">
        <v>0.6</v>
      </c>
      <c r="G6" s="24">
        <v>0.6</v>
      </c>
      <c r="I6" s="63" t="s">
        <v>12</v>
      </c>
      <c r="J6" s="52">
        <v>11699</v>
      </c>
      <c r="K6" s="52">
        <v>22997</v>
      </c>
      <c r="L6" s="52">
        <v>26532</v>
      </c>
      <c r="M6" s="53">
        <v>16380</v>
      </c>
      <c r="N6" s="53">
        <v>19688</v>
      </c>
      <c r="O6" s="53">
        <v>20475</v>
      </c>
      <c r="P6" s="104">
        <v>30126</v>
      </c>
      <c r="Q6" s="104">
        <v>31840</v>
      </c>
      <c r="R6" s="104">
        <v>36732</v>
      </c>
      <c r="S6" s="54">
        <v>39681</v>
      </c>
      <c r="T6" s="54">
        <v>43426</v>
      </c>
      <c r="U6" s="64">
        <v>22256</v>
      </c>
    </row>
    <row r="7" spans="2:21" ht="15" customHeight="1" x14ac:dyDescent="0.3">
      <c r="B7" s="140"/>
      <c r="C7" s="25"/>
      <c r="D7" s="1"/>
      <c r="G7" s="26"/>
      <c r="I7" s="63" t="s">
        <v>13</v>
      </c>
      <c r="J7" s="52">
        <v>18574</v>
      </c>
      <c r="K7" s="52">
        <v>20652</v>
      </c>
      <c r="L7" s="52">
        <v>26609</v>
      </c>
      <c r="M7" s="53">
        <v>24273</v>
      </c>
      <c r="N7" s="53">
        <v>24489</v>
      </c>
      <c r="O7" s="53">
        <v>27566</v>
      </c>
      <c r="P7" s="104">
        <v>27794.89710959787</v>
      </c>
      <c r="Q7" s="104">
        <v>30885.882178307729</v>
      </c>
      <c r="R7" s="104">
        <v>31128.829164092618</v>
      </c>
      <c r="S7" s="54">
        <v>34234.273148848217</v>
      </c>
      <c r="T7" s="54">
        <v>38774.85570994344</v>
      </c>
      <c r="U7" s="64">
        <v>37391.630216383732</v>
      </c>
    </row>
    <row r="8" spans="2:21" ht="15" customHeight="1" x14ac:dyDescent="0.3">
      <c r="B8" s="140"/>
      <c r="C8" s="20" t="s">
        <v>14</v>
      </c>
      <c r="D8" s="38"/>
      <c r="E8" s="38">
        <f>O11</f>
        <v>3202609.4995770985</v>
      </c>
      <c r="F8" s="38">
        <f>R11</f>
        <v>3585974.3698783768</v>
      </c>
      <c r="G8" s="39">
        <f>U11</f>
        <v>4046317.2134156162</v>
      </c>
      <c r="I8" s="63" t="s">
        <v>15</v>
      </c>
      <c r="J8" s="52">
        <v>11261</v>
      </c>
      <c r="K8" s="52">
        <v>13774</v>
      </c>
      <c r="L8" s="52">
        <v>16264</v>
      </c>
      <c r="M8" s="53">
        <v>17941</v>
      </c>
      <c r="N8" s="53">
        <v>20712</v>
      </c>
      <c r="O8" s="53">
        <v>20920</v>
      </c>
      <c r="P8" s="104">
        <v>23769</v>
      </c>
      <c r="Q8" s="104">
        <v>26670</v>
      </c>
      <c r="R8" s="104">
        <v>29634</v>
      </c>
      <c r="S8" s="54">
        <v>32652</v>
      </c>
      <c r="T8" s="54">
        <v>38472</v>
      </c>
      <c r="U8" s="64">
        <v>41625</v>
      </c>
    </row>
    <row r="9" spans="2:21" ht="15" customHeight="1" x14ac:dyDescent="0.3">
      <c r="B9" s="140"/>
      <c r="C9" s="21" t="s">
        <v>16</v>
      </c>
      <c r="D9" s="40"/>
      <c r="E9" s="40">
        <v>3454647.02</v>
      </c>
      <c r="F9" s="40"/>
      <c r="G9" s="41"/>
      <c r="I9" s="90" t="s">
        <v>5</v>
      </c>
      <c r="J9" s="91"/>
      <c r="K9" s="91"/>
      <c r="L9" s="95">
        <f>SUM(J3:L8)</f>
        <v>444025</v>
      </c>
      <c r="M9" s="96"/>
      <c r="N9" s="96"/>
      <c r="O9" s="96">
        <f>SUM(M3:O8)</f>
        <v>413800</v>
      </c>
      <c r="P9" s="105"/>
      <c r="Q9" s="105"/>
      <c r="R9" s="105">
        <f>SUM(P3:R8)</f>
        <v>461055.41511634295</v>
      </c>
      <c r="S9" s="97"/>
      <c r="T9" s="97"/>
      <c r="U9" s="98">
        <f>SUM(S3:U8)</f>
        <v>502031.52078000811</v>
      </c>
    </row>
    <row r="10" spans="2:21" ht="14.4" x14ac:dyDescent="0.3">
      <c r="B10" s="140"/>
      <c r="C10" s="21" t="s">
        <v>9</v>
      </c>
      <c r="D10" s="6">
        <f>IFERROR(D9/D8,0)</f>
        <v>0</v>
      </c>
      <c r="E10" s="6">
        <f>IFERROR(E9/E8,0)</f>
        <v>1.0786975497500344</v>
      </c>
      <c r="F10" s="6">
        <f t="shared" ref="F10:G10" si="2">IFERROR(F9/F8,0)</f>
        <v>0</v>
      </c>
      <c r="G10" s="7">
        <f t="shared" si="2"/>
        <v>0</v>
      </c>
      <c r="I10" s="63" t="s">
        <v>15</v>
      </c>
      <c r="J10" s="52">
        <v>1199261</v>
      </c>
      <c r="K10" s="52">
        <v>891096</v>
      </c>
      <c r="L10" s="52">
        <v>1114983.8699999999</v>
      </c>
      <c r="M10" s="53">
        <v>1116098.8538699998</v>
      </c>
      <c r="N10" s="53">
        <v>1042733.9558756116</v>
      </c>
      <c r="O10" s="53">
        <v>1043776.689831487</v>
      </c>
      <c r="P10" s="104">
        <v>1119450.4998442698</v>
      </c>
      <c r="Q10" s="104">
        <v>1195274.6137003882</v>
      </c>
      <c r="R10" s="104">
        <v>1271249.256333719</v>
      </c>
      <c r="S10" s="54">
        <v>1272520.5055900526</v>
      </c>
      <c r="T10" s="54">
        <v>1348722.0276306802</v>
      </c>
      <c r="U10" s="64">
        <v>1425074.6801948836</v>
      </c>
    </row>
    <row r="11" spans="2:21" ht="14.4" x14ac:dyDescent="0.3">
      <c r="B11" s="140"/>
      <c r="C11" s="22" t="s">
        <v>17</v>
      </c>
      <c r="D11" s="23">
        <v>0</v>
      </c>
      <c r="E11" s="23">
        <v>0.4</v>
      </c>
      <c r="F11" s="23">
        <v>0.4</v>
      </c>
      <c r="G11" s="24">
        <v>0.4</v>
      </c>
      <c r="I11" s="92" t="s">
        <v>14</v>
      </c>
      <c r="J11" s="93"/>
      <c r="K11" s="93"/>
      <c r="L11" s="107">
        <f>SUM(J10:L10)</f>
        <v>3205340.87</v>
      </c>
      <c r="M11" s="94"/>
      <c r="N11" s="94"/>
      <c r="O11" s="99">
        <f>SUM(M10:O10)</f>
        <v>3202609.4995770985</v>
      </c>
      <c r="P11" s="106"/>
      <c r="Q11" s="106"/>
      <c r="R11" s="106">
        <f>SUM(P10:R10)</f>
        <v>3585974.3698783768</v>
      </c>
      <c r="S11" s="100"/>
      <c r="T11" s="100"/>
      <c r="U11" s="101">
        <f>SUM(S10:U10)</f>
        <v>4046317.2134156162</v>
      </c>
    </row>
    <row r="12" spans="2:21" ht="14.4" x14ac:dyDescent="0.3">
      <c r="B12" s="140"/>
      <c r="D12" s="1"/>
    </row>
    <row r="13" spans="2:21" ht="14.4" x14ac:dyDescent="0.3">
      <c r="B13" s="140"/>
      <c r="C13" s="20" t="s">
        <v>18</v>
      </c>
      <c r="D13" s="16">
        <v>3600</v>
      </c>
      <c r="E13" s="16">
        <v>3600</v>
      </c>
      <c r="F13" s="16">
        <v>3600</v>
      </c>
      <c r="G13" s="17">
        <v>3600</v>
      </c>
      <c r="M13" s="108"/>
      <c r="N13" s="108"/>
      <c r="O13" s="108"/>
      <c r="P13" s="108"/>
      <c r="Q13" s="108"/>
      <c r="R13" s="108"/>
      <c r="S13" s="108"/>
      <c r="T13" s="108"/>
      <c r="U13" s="108"/>
    </row>
    <row r="14" spans="2:21" ht="15" customHeight="1" x14ac:dyDescent="0.3">
      <c r="B14" s="140"/>
      <c r="C14" s="21" t="s">
        <v>19</v>
      </c>
      <c r="D14" s="8">
        <f>IF(D17&lt;D31,0,IF(D17&gt;D33,1.25,IF(D17&gt;D32,1.15,1)))</f>
        <v>0</v>
      </c>
      <c r="E14" s="8">
        <f>IF(E17&lt;E31,0,IF(E17&gt;E33,1.25,IF(E17&gt;E32,1.15,1)))</f>
        <v>1.25</v>
      </c>
      <c r="F14" s="8">
        <f>IF(F17&lt;F31,0,IF(F17&gt;F33,1.25,IF(F17&gt;F32,1.15,1)))</f>
        <v>0</v>
      </c>
      <c r="G14" s="9">
        <f>IF(G17&lt;G31,0,IF(G17&gt;G33,1.25,IF(G17&gt;G32,1.15,1)))</f>
        <v>0</v>
      </c>
      <c r="M14" s="108"/>
      <c r="N14" s="108"/>
      <c r="O14" s="108"/>
      <c r="P14" s="108"/>
      <c r="Q14" s="108"/>
      <c r="R14" s="108"/>
      <c r="S14" s="108"/>
      <c r="T14" s="108"/>
      <c r="U14" s="108"/>
    </row>
    <row r="15" spans="2:21" ht="14.4" x14ac:dyDescent="0.3">
      <c r="B15" s="141"/>
      <c r="C15" s="27" t="s">
        <v>20</v>
      </c>
      <c r="D15" s="10">
        <f>D13*D14</f>
        <v>0</v>
      </c>
      <c r="E15" s="10">
        <f>E13*E14</f>
        <v>4500</v>
      </c>
      <c r="F15" s="10">
        <f t="shared" ref="F15:G15" si="3">F13*F14</f>
        <v>0</v>
      </c>
      <c r="G15" s="11">
        <f t="shared" si="3"/>
        <v>0</v>
      </c>
      <c r="M15" s="108"/>
      <c r="N15" s="108"/>
      <c r="O15" s="108"/>
      <c r="P15" s="108"/>
      <c r="Q15" s="108"/>
      <c r="R15" s="108"/>
      <c r="S15" s="108"/>
      <c r="T15" s="108"/>
      <c r="U15" s="108"/>
    </row>
    <row r="16" spans="2:21" ht="14.4" x14ac:dyDescent="0.3">
      <c r="C16" s="25"/>
      <c r="D16" s="1"/>
      <c r="G16" s="26"/>
      <c r="I16" s="51"/>
      <c r="M16" s="108"/>
      <c r="N16" s="108"/>
      <c r="O16" s="108"/>
    </row>
    <row r="17" spans="2:9" ht="14.4" x14ac:dyDescent="0.3">
      <c r="C17" s="84" t="s">
        <v>21</v>
      </c>
      <c r="D17" s="85">
        <f>(D6*D5) + (D10*D11)</f>
        <v>0</v>
      </c>
      <c r="E17" s="85">
        <f>(E6*E5) + (E10*E11)</f>
        <v>1.1003999029836291</v>
      </c>
      <c r="F17" s="85">
        <f t="shared" ref="F17:G17" si="4">(F6*F5) + (F10*F11)</f>
        <v>0</v>
      </c>
      <c r="G17" s="86">
        <f t="shared" si="4"/>
        <v>0</v>
      </c>
    </row>
    <row r="18" spans="2:9" ht="14.4" x14ac:dyDescent="0.3">
      <c r="C18" s="87" t="s">
        <v>22</v>
      </c>
      <c r="D18" s="88">
        <f>IF(D5&lt;D31,0,D17*D15)</f>
        <v>0</v>
      </c>
      <c r="E18" s="88">
        <f>IF(E5&lt;E31,0,E17*E15)</f>
        <v>4951.7995634263307</v>
      </c>
      <c r="F18" s="88">
        <f>IF(F17&lt;F31,0,F17*F15)</f>
        <v>0</v>
      </c>
      <c r="G18" s="89">
        <f>IF(G17&lt;G31,0,G17*G15)</f>
        <v>0</v>
      </c>
    </row>
    <row r="19" spans="2:9" ht="14.4" x14ac:dyDescent="0.3">
      <c r="D19" s="1"/>
    </row>
    <row r="20" spans="2:9" ht="14.4" x14ac:dyDescent="0.3">
      <c r="C20" s="30" t="s">
        <v>23</v>
      </c>
      <c r="D20" s="4">
        <f>D18</f>
        <v>0</v>
      </c>
      <c r="E20" s="4">
        <f>E18</f>
        <v>4951.7995634263307</v>
      </c>
      <c r="F20" s="4">
        <f t="shared" ref="F20:G20" si="5">F18</f>
        <v>0</v>
      </c>
      <c r="G20" s="5">
        <f t="shared" si="5"/>
        <v>0</v>
      </c>
    </row>
    <row r="21" spans="2:9" ht="14.4" x14ac:dyDescent="0.3">
      <c r="C21" s="31" t="s">
        <v>24</v>
      </c>
      <c r="D21" s="2"/>
      <c r="E21" s="2"/>
      <c r="F21" s="2"/>
      <c r="G21" s="3"/>
    </row>
    <row r="22" spans="2:9" ht="14.4" x14ac:dyDescent="0.3">
      <c r="C22" s="32" t="s">
        <v>25</v>
      </c>
      <c r="D22" s="14">
        <f>SUM(D20:D21)</f>
        <v>0</v>
      </c>
      <c r="E22" s="14">
        <f>SUM(E20:E21)</f>
        <v>4951.7995634263307</v>
      </c>
      <c r="F22" s="14">
        <f>SUM(F20:F21)</f>
        <v>0</v>
      </c>
      <c r="G22" s="15">
        <f>SUM(G20:G21)</f>
        <v>0</v>
      </c>
    </row>
    <row r="23" spans="2:9" ht="14.4" x14ac:dyDescent="0.3">
      <c r="D23" s="1"/>
    </row>
    <row r="24" spans="2:9" ht="14.4" x14ac:dyDescent="0.3">
      <c r="B24" s="142" t="s">
        <v>26</v>
      </c>
      <c r="C24" s="42" t="s">
        <v>27</v>
      </c>
      <c r="D24" s="43"/>
      <c r="E24" s="43"/>
      <c r="F24" s="43"/>
      <c r="G24" s="44"/>
    </row>
    <row r="25" spans="2:9" ht="14.4" x14ac:dyDescent="0.3">
      <c r="B25" s="143"/>
      <c r="C25" s="45" t="s">
        <v>28</v>
      </c>
      <c r="D25" s="2"/>
      <c r="E25" s="2"/>
      <c r="F25" s="2"/>
      <c r="G25" s="46"/>
    </row>
    <row r="26" spans="2:9" ht="14.4" x14ac:dyDescent="0.3">
      <c r="B26" s="143"/>
      <c r="C26" s="45" t="s">
        <v>29</v>
      </c>
      <c r="D26" s="6">
        <f t="shared" ref="D26:F26" si="6">IFERROR(D25/D24,0)</f>
        <v>0</v>
      </c>
      <c r="E26" s="6">
        <f t="shared" si="6"/>
        <v>0</v>
      </c>
      <c r="F26" s="6">
        <f t="shared" si="6"/>
        <v>0</v>
      </c>
      <c r="G26" s="47">
        <f>IFERROR(G25/G24,0)</f>
        <v>0</v>
      </c>
      <c r="I26" s="51"/>
    </row>
    <row r="27" spans="2:9" ht="14.4" x14ac:dyDescent="0.3">
      <c r="B27" s="144"/>
      <c r="C27" s="48" t="s">
        <v>30</v>
      </c>
      <c r="D27" s="49">
        <f>IF(D26&lt;D36,0,D21*D35)</f>
        <v>0</v>
      </c>
      <c r="E27" s="49">
        <f>IF(E26&lt;E36,0,E21*E35)</f>
        <v>0</v>
      </c>
      <c r="F27" s="49">
        <f t="shared" ref="F27:G27" si="7">IF(F26&lt;F36,0,F21*F35)</f>
        <v>0</v>
      </c>
      <c r="G27" s="50">
        <f t="shared" si="7"/>
        <v>0</v>
      </c>
    </row>
    <row r="28" spans="2:9" ht="14.4" x14ac:dyDescent="0.3">
      <c r="D28" s="83"/>
      <c r="E28" s="83"/>
      <c r="F28" s="83"/>
      <c r="G28" s="37"/>
    </row>
    <row r="29" spans="2:9" ht="14.4" x14ac:dyDescent="0.3">
      <c r="D29" s="1"/>
    </row>
    <row r="30" spans="2:9" ht="14.4" x14ac:dyDescent="0.3">
      <c r="C30" s="33" t="s">
        <v>31</v>
      </c>
      <c r="D30" s="19" t="s">
        <v>0</v>
      </c>
      <c r="E30" s="19" t="s">
        <v>1</v>
      </c>
      <c r="F30" s="19" t="s">
        <v>2</v>
      </c>
      <c r="G30" s="19" t="s">
        <v>3</v>
      </c>
      <c r="H30" s="19"/>
    </row>
    <row r="31" spans="2:9" ht="14.4" x14ac:dyDescent="0.3">
      <c r="C31" s="74" t="s">
        <v>32</v>
      </c>
      <c r="D31" s="75">
        <v>0.8</v>
      </c>
      <c r="E31" s="75">
        <v>0.8</v>
      </c>
      <c r="F31" s="75">
        <v>0.8</v>
      </c>
      <c r="G31" s="76">
        <v>0.8</v>
      </c>
      <c r="H31" s="34" t="s">
        <v>33</v>
      </c>
    </row>
    <row r="32" spans="2:9" ht="14.4" x14ac:dyDescent="0.3">
      <c r="C32" s="77" t="s">
        <v>34</v>
      </c>
      <c r="D32" s="36">
        <v>0.9</v>
      </c>
      <c r="E32" s="36">
        <v>0.9</v>
      </c>
      <c r="F32" s="36">
        <v>0.9</v>
      </c>
      <c r="G32" s="78">
        <v>0.9</v>
      </c>
      <c r="H32" s="34" t="s">
        <v>35</v>
      </c>
    </row>
    <row r="33" spans="3:8" ht="14.4" x14ac:dyDescent="0.3">
      <c r="C33" s="77" t="s">
        <v>36</v>
      </c>
      <c r="D33" s="36">
        <v>1</v>
      </c>
      <c r="E33" s="36">
        <v>1</v>
      </c>
      <c r="F33" s="36">
        <v>1</v>
      </c>
      <c r="G33" s="78">
        <v>1</v>
      </c>
      <c r="H33" s="34" t="s">
        <v>35</v>
      </c>
    </row>
    <row r="34" spans="3:8" ht="14.4" x14ac:dyDescent="0.3">
      <c r="C34" s="77" t="s">
        <v>37</v>
      </c>
      <c r="D34" s="35" t="s">
        <v>38</v>
      </c>
      <c r="E34" s="35" t="s">
        <v>38</v>
      </c>
      <c r="F34" s="35" t="s">
        <v>38</v>
      </c>
      <c r="G34" s="79" t="s">
        <v>38</v>
      </c>
      <c r="H34" s="34" t="s">
        <v>39</v>
      </c>
    </row>
    <row r="35" spans="3:8" ht="14.4" x14ac:dyDescent="0.3">
      <c r="C35" s="77" t="s">
        <v>40</v>
      </c>
      <c r="D35" s="35">
        <v>1</v>
      </c>
      <c r="E35" s="35">
        <v>1</v>
      </c>
      <c r="F35" s="35">
        <v>1</v>
      </c>
      <c r="G35" s="79">
        <v>1</v>
      </c>
      <c r="H35" s="34" t="s">
        <v>41</v>
      </c>
    </row>
    <row r="36" spans="3:8" ht="14.4" x14ac:dyDescent="0.3">
      <c r="C36" s="80" t="s">
        <v>42</v>
      </c>
      <c r="D36" s="81">
        <v>1.07</v>
      </c>
      <c r="E36" s="81">
        <v>1.07</v>
      </c>
      <c r="F36" s="81">
        <v>1</v>
      </c>
      <c r="G36" s="82">
        <v>1</v>
      </c>
      <c r="H36" s="34" t="s">
        <v>43</v>
      </c>
    </row>
    <row r="37" spans="3:8" ht="14.4" x14ac:dyDescent="0.3">
      <c r="D37" s="1"/>
    </row>
  </sheetData>
  <sheetProtection algorithmName="SHA-512" hashValue="/gQ5ncQ2tE9GHqVmlcRam93BQoCLP8gdXvtcz97mAubZnqwzyQ2ixhIzO54+w7VMivbGw+T5Agdt1xhzQEHc6w==" saltValue="RlBroiWJxIge+2lw/3urVw==" spinCount="100000" sheet="1" formatCells="0" formatColumns="0" formatRows="0"/>
  <protectedRanges>
    <protectedRange sqref="J8:L8 M10:R10 J6:R7" name="Range1"/>
  </protectedRanges>
  <mergeCells count="2">
    <mergeCell ref="B3:B15"/>
    <mergeCell ref="B24:B27"/>
  </mergeCells>
  <dataValidations count="1">
    <dataValidation type="decimal" allowBlank="1" showInputMessage="1" showErrorMessage="1" sqref="D21:G21 D8:G9 D13:G13 D25:G25 D3:G4" xr:uid="{0702D150-1C5B-44C9-93A1-EC98595E6B12}">
      <formula1>0</formula1>
      <formula2>100000000</formula2>
    </dataValidation>
  </dataValidations>
  <pageMargins left="0.511811024" right="0.511811024" top="0.78740157499999996" bottom="0.78740157499999996" header="0.31496062000000002" footer="0.31496062000000002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65A58-5756-4EE2-A55D-BF5DC43FB029}">
  <dimension ref="B1:U37"/>
  <sheetViews>
    <sheetView showGridLines="0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O14" sqref="O14"/>
    </sheetView>
  </sheetViews>
  <sheetFormatPr defaultColWidth="8.88671875" defaultRowHeight="15" customHeight="1" x14ac:dyDescent="0.3"/>
  <cols>
    <col min="1" max="1" width="3.6640625" customWidth="1"/>
    <col min="2" max="2" width="9.109375" bestFit="1" customWidth="1"/>
    <col min="3" max="3" width="33.33203125" bestFit="1" customWidth="1"/>
    <col min="4" max="4" width="16.44140625" customWidth="1"/>
    <col min="5" max="5" width="16.44140625" style="1" bestFit="1" customWidth="1"/>
    <col min="6" max="7" width="15.44140625" style="1" customWidth="1"/>
    <col min="8" max="8" width="9.109375" bestFit="1" customWidth="1"/>
    <col min="9" max="9" width="10.6640625" bestFit="1" customWidth="1"/>
    <col min="10" max="10" width="15.44140625" customWidth="1"/>
    <col min="11" max="11" width="13.6640625" customWidth="1"/>
    <col min="12" max="12" width="15.44140625" customWidth="1"/>
    <col min="13" max="14" width="15.44140625" bestFit="1" customWidth="1"/>
    <col min="15" max="15" width="15.5546875" bestFit="1" customWidth="1"/>
    <col min="16" max="17" width="15.44140625" bestFit="1" customWidth="1"/>
    <col min="18" max="18" width="15.5546875" bestFit="1" customWidth="1"/>
    <col min="19" max="21" width="15.44140625" bestFit="1" customWidth="1"/>
  </cols>
  <sheetData>
    <row r="1" spans="2:21" ht="15" customHeight="1" x14ac:dyDescent="0.3">
      <c r="D1" s="1"/>
    </row>
    <row r="2" spans="2:21" ht="14.4" x14ac:dyDescent="0.3">
      <c r="C2" s="18"/>
      <c r="D2" s="19" t="s">
        <v>0</v>
      </c>
      <c r="E2" s="19" t="s">
        <v>1</v>
      </c>
      <c r="F2" s="19" t="s">
        <v>2</v>
      </c>
      <c r="G2" s="19" t="s">
        <v>3</v>
      </c>
      <c r="I2" s="58"/>
      <c r="J2" s="59">
        <v>45658</v>
      </c>
      <c r="K2" s="59">
        <f t="shared" ref="K2:U2" si="0">EDATE(J2,1)</f>
        <v>45689</v>
      </c>
      <c r="L2" s="59">
        <f t="shared" si="0"/>
        <v>45717</v>
      </c>
      <c r="M2" s="60">
        <f t="shared" si="0"/>
        <v>45748</v>
      </c>
      <c r="N2" s="60">
        <f t="shared" si="0"/>
        <v>45778</v>
      </c>
      <c r="O2" s="60">
        <f t="shared" si="0"/>
        <v>45809</v>
      </c>
      <c r="P2" s="103">
        <f t="shared" si="0"/>
        <v>45839</v>
      </c>
      <c r="Q2" s="103">
        <f t="shared" si="0"/>
        <v>45870</v>
      </c>
      <c r="R2" s="103">
        <f t="shared" si="0"/>
        <v>45901</v>
      </c>
      <c r="S2" s="61">
        <f t="shared" si="0"/>
        <v>45931</v>
      </c>
      <c r="T2" s="61">
        <f t="shared" si="0"/>
        <v>45962</v>
      </c>
      <c r="U2" s="62">
        <f t="shared" si="0"/>
        <v>45992</v>
      </c>
    </row>
    <row r="3" spans="2:21" ht="15" customHeight="1" x14ac:dyDescent="0.3">
      <c r="B3" s="139" t="s">
        <v>4</v>
      </c>
      <c r="C3" s="20" t="s">
        <v>49</v>
      </c>
      <c r="D3" s="38"/>
      <c r="E3" s="38">
        <f>O9</f>
        <v>413800</v>
      </c>
      <c r="F3" s="38">
        <f>R9</f>
        <v>461055.41511634295</v>
      </c>
      <c r="G3" s="39">
        <f>U9</f>
        <v>502031.52078000811</v>
      </c>
      <c r="I3" s="63" t="s">
        <v>6</v>
      </c>
      <c r="J3" s="52">
        <v>16074</v>
      </c>
      <c r="K3" s="52">
        <v>19136</v>
      </c>
      <c r="L3" s="52">
        <v>21433</v>
      </c>
      <c r="M3" s="53">
        <v>13472</v>
      </c>
      <c r="N3" s="53">
        <v>14314</v>
      </c>
      <c r="O3" s="53">
        <v>14314</v>
      </c>
      <c r="P3" s="104">
        <v>15155.910000000002</v>
      </c>
      <c r="Q3" s="104">
        <v>18523.890000000003</v>
      </c>
      <c r="R3" s="104">
        <v>20376.279000000006</v>
      </c>
      <c r="S3" s="54">
        <v>21302.473500000004</v>
      </c>
      <c r="T3" s="54">
        <v>23154.862500000007</v>
      </c>
      <c r="U3" s="64">
        <v>19450.084500000004</v>
      </c>
    </row>
    <row r="4" spans="2:21" ht="15" customHeight="1" x14ac:dyDescent="0.3">
      <c r="B4" s="140"/>
      <c r="C4" s="21" t="s">
        <v>50</v>
      </c>
      <c r="D4" s="109"/>
      <c r="E4" s="109">
        <v>405425.87</v>
      </c>
      <c r="F4" s="109"/>
      <c r="G4" s="41"/>
      <c r="I4" s="63" t="s">
        <v>8</v>
      </c>
      <c r="J4" s="52">
        <v>35925</v>
      </c>
      <c r="K4" s="52">
        <v>40322</v>
      </c>
      <c r="L4" s="52">
        <v>30438</v>
      </c>
      <c r="M4" s="53">
        <v>30798</v>
      </c>
      <c r="N4" s="53">
        <v>31185</v>
      </c>
      <c r="O4" s="53">
        <v>31567</v>
      </c>
      <c r="P4" s="104">
        <v>31909.430224310341</v>
      </c>
      <c r="Q4" s="104">
        <v>32304.140631746544</v>
      </c>
      <c r="R4" s="104">
        <v>32697.354808287837</v>
      </c>
      <c r="S4" s="54">
        <v>33061.834345905496</v>
      </c>
      <c r="T4" s="54">
        <v>33375.24169173323</v>
      </c>
      <c r="U4" s="64">
        <v>33673.590487194</v>
      </c>
    </row>
    <row r="5" spans="2:21" ht="15" customHeight="1" x14ac:dyDescent="0.3">
      <c r="B5" s="140"/>
      <c r="C5" s="21" t="s">
        <v>9</v>
      </c>
      <c r="D5" s="110">
        <f>IFERROR(D4/D3,0)</f>
        <v>0</v>
      </c>
      <c r="E5" s="110">
        <f>IFERROR(E4/E3,0)</f>
        <v>0.97976285645239247</v>
      </c>
      <c r="F5" s="110">
        <f>IFERROR(F4/F3,0)</f>
        <v>0</v>
      </c>
      <c r="G5" s="111">
        <f>IFERROR(G4/G3,0)</f>
        <v>0</v>
      </c>
      <c r="I5" s="63" t="s">
        <v>10</v>
      </c>
      <c r="J5" s="52">
        <v>36036</v>
      </c>
      <c r="K5" s="52">
        <v>36036</v>
      </c>
      <c r="L5" s="52">
        <v>40263</v>
      </c>
      <c r="M5" s="53">
        <v>37280</v>
      </c>
      <c r="N5" s="53">
        <v>25366</v>
      </c>
      <c r="O5" s="53">
        <v>23060</v>
      </c>
      <c r="P5" s="104">
        <v>18447.912000000004</v>
      </c>
      <c r="Q5" s="104">
        <v>13835.934000000003</v>
      </c>
      <c r="R5" s="104">
        <v>9223.9560000000019</v>
      </c>
      <c r="S5" s="54">
        <v>9500.6746800000019</v>
      </c>
      <c r="T5" s="54">
        <v>0</v>
      </c>
      <c r="U5" s="64">
        <v>0</v>
      </c>
    </row>
    <row r="6" spans="2:21" ht="15" customHeight="1" x14ac:dyDescent="0.3">
      <c r="B6" s="140"/>
      <c r="C6" s="22" t="s">
        <v>11</v>
      </c>
      <c r="D6" s="23">
        <v>1</v>
      </c>
      <c r="E6" s="23">
        <v>0.6</v>
      </c>
      <c r="F6" s="23">
        <v>0.6</v>
      </c>
      <c r="G6" s="24">
        <v>0.6</v>
      </c>
      <c r="I6" s="63" t="s">
        <v>12</v>
      </c>
      <c r="J6" s="52">
        <v>11699</v>
      </c>
      <c r="K6" s="52">
        <v>22997</v>
      </c>
      <c r="L6" s="52">
        <v>26532</v>
      </c>
      <c r="M6" s="53">
        <v>16380</v>
      </c>
      <c r="N6" s="53">
        <v>19688</v>
      </c>
      <c r="O6" s="53">
        <v>20475</v>
      </c>
      <c r="P6" s="104">
        <v>30126</v>
      </c>
      <c r="Q6" s="104">
        <v>31840</v>
      </c>
      <c r="R6" s="104">
        <v>36732</v>
      </c>
      <c r="S6" s="54">
        <v>39681</v>
      </c>
      <c r="T6" s="54">
        <v>43426</v>
      </c>
      <c r="U6" s="64">
        <v>22256</v>
      </c>
    </row>
    <row r="7" spans="2:21" ht="15" customHeight="1" x14ac:dyDescent="0.3">
      <c r="B7" s="140"/>
      <c r="C7" s="25"/>
      <c r="D7" s="1"/>
      <c r="G7" s="26"/>
      <c r="I7" s="63" t="s">
        <v>13</v>
      </c>
      <c r="J7" s="52">
        <v>18574</v>
      </c>
      <c r="K7" s="52">
        <v>20652</v>
      </c>
      <c r="L7" s="52">
        <v>26609</v>
      </c>
      <c r="M7" s="53">
        <v>24273</v>
      </c>
      <c r="N7" s="53">
        <v>24489</v>
      </c>
      <c r="O7" s="53">
        <v>27566</v>
      </c>
      <c r="P7" s="104">
        <v>27794.89710959787</v>
      </c>
      <c r="Q7" s="104">
        <v>30885.882178307729</v>
      </c>
      <c r="R7" s="104">
        <v>31128.829164092618</v>
      </c>
      <c r="S7" s="54">
        <v>34234.273148848217</v>
      </c>
      <c r="T7" s="54">
        <v>38774.85570994344</v>
      </c>
      <c r="U7" s="64">
        <v>37391.630216383732</v>
      </c>
    </row>
    <row r="8" spans="2:21" ht="15" customHeight="1" x14ac:dyDescent="0.3">
      <c r="B8" s="140"/>
      <c r="C8" s="20" t="s">
        <v>14</v>
      </c>
      <c r="D8" s="38"/>
      <c r="E8" s="38">
        <f>O11</f>
        <v>3202609.4995770985</v>
      </c>
      <c r="F8" s="38">
        <f>R11</f>
        <v>3585974.3698783768</v>
      </c>
      <c r="G8" s="39">
        <f>U11</f>
        <v>4046317.2134156162</v>
      </c>
      <c r="I8" s="63" t="s">
        <v>15</v>
      </c>
      <c r="J8" s="52">
        <v>11261</v>
      </c>
      <c r="K8" s="52">
        <v>13774</v>
      </c>
      <c r="L8" s="52">
        <v>16264</v>
      </c>
      <c r="M8" s="53">
        <v>17941</v>
      </c>
      <c r="N8" s="53">
        <v>20712</v>
      </c>
      <c r="O8" s="53">
        <v>20920</v>
      </c>
      <c r="P8" s="104">
        <v>23769</v>
      </c>
      <c r="Q8" s="104">
        <v>26670</v>
      </c>
      <c r="R8" s="104">
        <v>29634</v>
      </c>
      <c r="S8" s="54">
        <v>32652</v>
      </c>
      <c r="T8" s="54">
        <v>38472</v>
      </c>
      <c r="U8" s="64">
        <v>41625</v>
      </c>
    </row>
    <row r="9" spans="2:21" ht="15" customHeight="1" x14ac:dyDescent="0.3">
      <c r="B9" s="140"/>
      <c r="C9" s="21" t="s">
        <v>16</v>
      </c>
      <c r="D9" s="109"/>
      <c r="E9" s="109">
        <v>3454647.02</v>
      </c>
      <c r="F9" s="109"/>
      <c r="G9" s="41"/>
      <c r="I9" s="90" t="s">
        <v>5</v>
      </c>
      <c r="J9" s="91"/>
      <c r="K9" s="91"/>
      <c r="L9" s="95">
        <f>SUM(J3:L8)</f>
        <v>444025</v>
      </c>
      <c r="M9" s="96"/>
      <c r="N9" s="96"/>
      <c r="O9" s="96">
        <f>SUM(M3:O8)</f>
        <v>413800</v>
      </c>
      <c r="P9" s="105"/>
      <c r="Q9" s="105"/>
      <c r="R9" s="105">
        <f>SUM(P3:R8)</f>
        <v>461055.41511634295</v>
      </c>
      <c r="S9" s="97"/>
      <c r="T9" s="97"/>
      <c r="U9" s="98">
        <f>SUM(S3:U8)</f>
        <v>502031.52078000811</v>
      </c>
    </row>
    <row r="10" spans="2:21" ht="14.4" x14ac:dyDescent="0.3">
      <c r="B10" s="140"/>
      <c r="C10" s="21" t="s">
        <v>9</v>
      </c>
      <c r="D10" s="110">
        <f>IFERROR(D9/D8,0)</f>
        <v>0</v>
      </c>
      <c r="E10" s="110">
        <f>IFERROR(E9/E8,0)</f>
        <v>1.0786975497500344</v>
      </c>
      <c r="F10" s="110">
        <f>IFERROR(F9/F8,0)</f>
        <v>0</v>
      </c>
      <c r="G10" s="111">
        <f>IFERROR(G9/G8,0)</f>
        <v>0</v>
      </c>
      <c r="I10" s="63" t="s">
        <v>15</v>
      </c>
      <c r="J10" s="52">
        <v>1199261</v>
      </c>
      <c r="K10" s="52">
        <v>891096</v>
      </c>
      <c r="L10" s="52">
        <v>1114983.8699999999</v>
      </c>
      <c r="M10" s="53">
        <v>1116098.8538699998</v>
      </c>
      <c r="N10" s="53">
        <v>1042733.9558756116</v>
      </c>
      <c r="O10" s="53">
        <v>1043776.689831487</v>
      </c>
      <c r="P10" s="104">
        <v>1119450.4998442698</v>
      </c>
      <c r="Q10" s="104">
        <v>1195274.6137003882</v>
      </c>
      <c r="R10" s="104">
        <v>1271249.256333719</v>
      </c>
      <c r="S10" s="54">
        <v>1272520.5055900526</v>
      </c>
      <c r="T10" s="54">
        <v>1348722.0276306802</v>
      </c>
      <c r="U10" s="64">
        <v>1425074.6801948836</v>
      </c>
    </row>
    <row r="11" spans="2:21" ht="14.4" x14ac:dyDescent="0.3">
      <c r="B11" s="140"/>
      <c r="C11" s="22" t="s">
        <v>17</v>
      </c>
      <c r="D11" s="23">
        <v>0</v>
      </c>
      <c r="E11" s="23">
        <v>0.4</v>
      </c>
      <c r="F11" s="23">
        <v>0.4</v>
      </c>
      <c r="G11" s="24">
        <v>0.4</v>
      </c>
      <c r="I11" s="92" t="s">
        <v>14</v>
      </c>
      <c r="J11" s="93"/>
      <c r="K11" s="93"/>
      <c r="L11" s="107">
        <f>SUM(J10:L10)</f>
        <v>3205340.87</v>
      </c>
      <c r="M11" s="94"/>
      <c r="N11" s="94"/>
      <c r="O11" s="99">
        <f>SUM(M10:O10)</f>
        <v>3202609.4995770985</v>
      </c>
      <c r="P11" s="106"/>
      <c r="Q11" s="106"/>
      <c r="R11" s="106">
        <f>SUM(P10:R10)</f>
        <v>3585974.3698783768</v>
      </c>
      <c r="S11" s="100"/>
      <c r="T11" s="100"/>
      <c r="U11" s="101">
        <f>SUM(S10:U10)</f>
        <v>4046317.2134156162</v>
      </c>
    </row>
    <row r="12" spans="2:21" ht="14.4" x14ac:dyDescent="0.3">
      <c r="B12" s="140"/>
      <c r="D12" s="1"/>
      <c r="M12" s="130">
        <v>744570</v>
      </c>
      <c r="N12" s="130">
        <v>1642389.02</v>
      </c>
      <c r="O12" s="130">
        <v>1062308</v>
      </c>
    </row>
    <row r="13" spans="2:21" ht="14.4" x14ac:dyDescent="0.3">
      <c r="B13" s="140"/>
      <c r="C13" s="20" t="s">
        <v>18</v>
      </c>
      <c r="D13" s="16">
        <v>3600</v>
      </c>
      <c r="E13" s="16">
        <v>3600</v>
      </c>
      <c r="F13" s="16">
        <v>3600</v>
      </c>
      <c r="G13" s="17">
        <v>3600</v>
      </c>
      <c r="M13" s="108"/>
      <c r="N13" s="108"/>
      <c r="O13" s="108">
        <f>SUM(M12:O12)</f>
        <v>3449267.02</v>
      </c>
      <c r="P13" s="108"/>
      <c r="Q13" s="108"/>
      <c r="R13" s="108"/>
      <c r="S13" s="108"/>
      <c r="T13" s="108"/>
      <c r="U13" s="108"/>
    </row>
    <row r="14" spans="2:21" ht="15" customHeight="1" x14ac:dyDescent="0.3">
      <c r="B14" s="140"/>
      <c r="C14" s="21" t="s">
        <v>19</v>
      </c>
      <c r="D14" s="112">
        <f>IF(D17&lt;D31,0,IF(D17&gt;D33,1.25,IF(D17&gt;D32,1.15,1)))</f>
        <v>0</v>
      </c>
      <c r="E14" s="112">
        <f>IF(E17&lt;E31,0,IF(E17&gt;E33,1.25,IF(E17&gt;E32,1.15,1)))</f>
        <v>1.25</v>
      </c>
      <c r="F14" s="112">
        <f>IF(F17&lt;F31,0,IF(F17&gt;F33,1.25,IF(F17&gt;F32,1.15,1)))</f>
        <v>0</v>
      </c>
      <c r="G14" s="113">
        <f>IF(G17&lt;G31,0,IF(G17&gt;G33,1.25,IF(G17&gt;G32,1.15,1)))</f>
        <v>0</v>
      </c>
      <c r="M14" s="108"/>
      <c r="N14" s="108"/>
      <c r="O14" s="108"/>
      <c r="P14" s="108"/>
      <c r="Q14" s="108"/>
      <c r="R14" s="108"/>
      <c r="S14" s="108"/>
      <c r="T14" s="108"/>
      <c r="U14" s="108"/>
    </row>
    <row r="15" spans="2:21" ht="14.4" x14ac:dyDescent="0.3">
      <c r="B15" s="141"/>
      <c r="C15" s="27" t="s">
        <v>20</v>
      </c>
      <c r="D15" s="114">
        <f>D13*D14</f>
        <v>0</v>
      </c>
      <c r="E15" s="114">
        <f>E13*E14</f>
        <v>4500</v>
      </c>
      <c r="F15" s="114">
        <f>F13*F14</f>
        <v>0</v>
      </c>
      <c r="G15" s="115">
        <f>G13*G14</f>
        <v>0</v>
      </c>
      <c r="M15" s="108"/>
      <c r="N15" s="108"/>
      <c r="O15" s="108"/>
      <c r="P15" s="108"/>
      <c r="Q15" s="108"/>
      <c r="R15" s="108"/>
      <c r="S15" s="108"/>
      <c r="T15" s="108"/>
      <c r="U15" s="108"/>
    </row>
    <row r="16" spans="2:21" ht="14.4" x14ac:dyDescent="0.3">
      <c r="C16" s="25"/>
      <c r="D16" s="1"/>
      <c r="G16" s="26"/>
      <c r="I16" s="51"/>
      <c r="M16" s="108"/>
      <c r="N16" s="108"/>
      <c r="O16" s="108"/>
    </row>
    <row r="17" spans="2:9" ht="14.4" x14ac:dyDescent="0.3">
      <c r="C17" s="84" t="s">
        <v>21</v>
      </c>
      <c r="D17" s="116">
        <f>(D6*D5) + (D10*D11)</f>
        <v>0</v>
      </c>
      <c r="E17" s="116">
        <f>(E6*E5) + (E10*E11)</f>
        <v>1.0193367337714494</v>
      </c>
      <c r="F17" s="116">
        <f>(F6*F5) + (F10*F11)</f>
        <v>0</v>
      </c>
      <c r="G17" s="117">
        <f>(G6*G5) + (G10*G11)</f>
        <v>0</v>
      </c>
    </row>
    <row r="18" spans="2:9" ht="14.4" x14ac:dyDescent="0.3">
      <c r="C18" s="87" t="s">
        <v>22</v>
      </c>
      <c r="D18" s="118">
        <f>IF(D5&lt;D31,0,D17*D15)</f>
        <v>0</v>
      </c>
      <c r="E18" s="118">
        <f>IF(E5&lt;E31,0,E17*E15)</f>
        <v>4587.0153019715226</v>
      </c>
      <c r="F18" s="118">
        <f>IF(F17&lt;F31,0,F17*F15)</f>
        <v>0</v>
      </c>
      <c r="G18" s="119">
        <f>IF(G17&lt;G31,0,G17*G15)</f>
        <v>0</v>
      </c>
    </row>
    <row r="19" spans="2:9" ht="14.4" x14ac:dyDescent="0.3">
      <c r="D19" s="1"/>
    </row>
    <row r="20" spans="2:9" ht="14.4" x14ac:dyDescent="0.3">
      <c r="C20" s="30" t="s">
        <v>23</v>
      </c>
      <c r="D20" s="120">
        <f>D18</f>
        <v>0</v>
      </c>
      <c r="E20" s="120">
        <f>E18</f>
        <v>4587.0153019715226</v>
      </c>
      <c r="F20" s="120">
        <f>F18</f>
        <v>0</v>
      </c>
      <c r="G20" s="121">
        <f>G18</f>
        <v>0</v>
      </c>
    </row>
    <row r="21" spans="2:9" ht="14.4" x14ac:dyDescent="0.3">
      <c r="C21" s="31" t="s">
        <v>24</v>
      </c>
      <c r="D21" s="122"/>
      <c r="E21" s="122"/>
      <c r="F21" s="122"/>
      <c r="G21" s="3"/>
    </row>
    <row r="22" spans="2:9" ht="14.4" x14ac:dyDescent="0.3">
      <c r="C22" s="32" t="s">
        <v>25</v>
      </c>
      <c r="D22" s="123">
        <f>SUM(D20:D21)</f>
        <v>0</v>
      </c>
      <c r="E22" s="123">
        <f>SUM(E20:E21)</f>
        <v>4587.0153019715226</v>
      </c>
      <c r="F22" s="123">
        <f>SUM(F20:F21)</f>
        <v>0</v>
      </c>
      <c r="G22" s="124">
        <f>SUM(G20:G21)</f>
        <v>0</v>
      </c>
    </row>
    <row r="23" spans="2:9" ht="14.4" x14ac:dyDescent="0.3">
      <c r="D23" s="1"/>
    </row>
    <row r="24" spans="2:9" ht="14.4" x14ac:dyDescent="0.3">
      <c r="B24" s="142" t="s">
        <v>26</v>
      </c>
      <c r="C24" s="42" t="s">
        <v>27</v>
      </c>
      <c r="D24" s="43"/>
      <c r="E24" s="43"/>
      <c r="F24" s="43"/>
      <c r="G24" s="44"/>
    </row>
    <row r="25" spans="2:9" ht="14.4" x14ac:dyDescent="0.3">
      <c r="B25" s="143"/>
      <c r="C25" s="45" t="s">
        <v>28</v>
      </c>
      <c r="D25" s="122"/>
      <c r="E25" s="122"/>
      <c r="F25" s="122"/>
      <c r="G25" s="46"/>
    </row>
    <row r="26" spans="2:9" ht="14.4" x14ac:dyDescent="0.3">
      <c r="B26" s="143"/>
      <c r="C26" s="45" t="s">
        <v>29</v>
      </c>
      <c r="D26" s="110">
        <f>IFERROR(D25/D24,0)</f>
        <v>0</v>
      </c>
      <c r="E26" s="110">
        <f>IFERROR(E25/E24,0)</f>
        <v>0</v>
      </c>
      <c r="F26" s="110">
        <f>IFERROR(F25/F24,0)</f>
        <v>0</v>
      </c>
      <c r="G26" s="125">
        <f>IFERROR(G25/G24,0)</f>
        <v>0</v>
      </c>
      <c r="I26" s="51"/>
    </row>
    <row r="27" spans="2:9" ht="14.4" x14ac:dyDescent="0.3">
      <c r="B27" s="144"/>
      <c r="C27" s="48" t="s">
        <v>30</v>
      </c>
      <c r="D27" s="126">
        <f>IF(D26&lt;D36,0,D21*D35)</f>
        <v>0</v>
      </c>
      <c r="E27" s="126">
        <f>IF(E26&lt;E36,0,E21*E35)</f>
        <v>0</v>
      </c>
      <c r="F27" s="126">
        <f>IF(F26&lt;F36,0,F21*F35)</f>
        <v>0</v>
      </c>
      <c r="G27" s="127">
        <f>IF(G26&lt;G36,0,G21*G35)</f>
        <v>0</v>
      </c>
    </row>
    <row r="28" spans="2:9" ht="14.4" x14ac:dyDescent="0.3">
      <c r="D28" s="83"/>
      <c r="E28" s="83"/>
      <c r="F28" s="83"/>
      <c r="G28" s="37"/>
    </row>
    <row r="29" spans="2:9" ht="14.4" x14ac:dyDescent="0.3">
      <c r="D29" s="1"/>
    </row>
    <row r="30" spans="2:9" ht="14.4" x14ac:dyDescent="0.3">
      <c r="C30" s="33" t="s">
        <v>31</v>
      </c>
      <c r="D30" s="19" t="s">
        <v>0</v>
      </c>
      <c r="E30" s="19" t="s">
        <v>1</v>
      </c>
      <c r="F30" s="19" t="s">
        <v>2</v>
      </c>
      <c r="G30" s="19" t="s">
        <v>3</v>
      </c>
      <c r="H30" s="19"/>
    </row>
    <row r="31" spans="2:9" ht="14.4" x14ac:dyDescent="0.3">
      <c r="C31" s="74" t="s">
        <v>32</v>
      </c>
      <c r="D31" s="75">
        <v>0.8</v>
      </c>
      <c r="E31" s="75">
        <v>0.8</v>
      </c>
      <c r="F31" s="75">
        <v>0.8</v>
      </c>
      <c r="G31" s="76">
        <v>0.8</v>
      </c>
      <c r="H31" s="34" t="s">
        <v>33</v>
      </c>
    </row>
    <row r="32" spans="2:9" ht="14.4" x14ac:dyDescent="0.3">
      <c r="C32" s="77" t="s">
        <v>34</v>
      </c>
      <c r="D32" s="36">
        <v>0.9</v>
      </c>
      <c r="E32" s="36">
        <v>0.9</v>
      </c>
      <c r="F32" s="36">
        <v>0.9</v>
      </c>
      <c r="G32" s="78">
        <v>0.9</v>
      </c>
      <c r="H32" s="34" t="s">
        <v>35</v>
      </c>
    </row>
    <row r="33" spans="3:8" ht="14.4" x14ac:dyDescent="0.3">
      <c r="C33" s="77" t="s">
        <v>36</v>
      </c>
      <c r="D33" s="36">
        <v>1</v>
      </c>
      <c r="E33" s="36">
        <v>1</v>
      </c>
      <c r="F33" s="36">
        <v>1</v>
      </c>
      <c r="G33" s="78">
        <v>1</v>
      </c>
      <c r="H33" s="34" t="s">
        <v>35</v>
      </c>
    </row>
    <row r="34" spans="3:8" ht="14.4" x14ac:dyDescent="0.3">
      <c r="C34" s="77" t="s">
        <v>37</v>
      </c>
      <c r="D34" s="35" t="s">
        <v>38</v>
      </c>
      <c r="E34" s="35" t="s">
        <v>38</v>
      </c>
      <c r="F34" s="35" t="s">
        <v>38</v>
      </c>
      <c r="G34" s="79" t="s">
        <v>38</v>
      </c>
      <c r="H34" s="34" t="s">
        <v>39</v>
      </c>
    </row>
    <row r="35" spans="3:8" ht="14.4" x14ac:dyDescent="0.3">
      <c r="C35" s="77" t="s">
        <v>40</v>
      </c>
      <c r="D35" s="35">
        <v>1</v>
      </c>
      <c r="E35" s="35">
        <v>1</v>
      </c>
      <c r="F35" s="35">
        <v>1</v>
      </c>
      <c r="G35" s="79">
        <v>1</v>
      </c>
      <c r="H35" s="34" t="s">
        <v>41</v>
      </c>
    </row>
    <row r="36" spans="3:8" ht="14.4" x14ac:dyDescent="0.3">
      <c r="C36" s="80" t="s">
        <v>42</v>
      </c>
      <c r="D36" s="81">
        <v>1.07</v>
      </c>
      <c r="E36" s="81">
        <v>1.07</v>
      </c>
      <c r="F36" s="81">
        <v>1</v>
      </c>
      <c r="G36" s="82">
        <v>1</v>
      </c>
      <c r="H36" s="34" t="s">
        <v>43</v>
      </c>
    </row>
    <row r="37" spans="3:8" ht="14.4" x14ac:dyDescent="0.3">
      <c r="D37" s="1"/>
    </row>
  </sheetData>
  <sheetProtection algorithmName="SHA-512" hashValue="/gQ5ncQ2tE9GHqVmlcRam93BQoCLP8gdXvtcz97mAubZnqwzyQ2ixhIzO54+w7VMivbGw+T5Agdt1xhzQEHc6w==" saltValue="RlBroiWJxIge+2lw/3urVw==" spinCount="100000" sheet="1" formatCells="0" formatColumns="0" formatRows="0"/>
  <protectedRanges>
    <protectedRange sqref="J8:L8 M10:R10 J6:R7" name="Range1"/>
  </protectedRanges>
  <mergeCells count="2">
    <mergeCell ref="B3:B15"/>
    <mergeCell ref="B24:B27"/>
  </mergeCells>
  <dataValidations count="1">
    <dataValidation type="decimal" allowBlank="1" showInputMessage="1" showErrorMessage="1" sqref="D21:G21 D8:G9 D13:G13 D25:G25 D3:G4" xr:uid="{FB8902DE-BCEB-4FDA-A8E4-2354785E6ED7}">
      <formula1>0</formula1>
      <formula2>100000000</formula2>
    </dataValidation>
  </dataValidations>
  <pageMargins left="0.511811024" right="0.511811024" top="0.78740157499999996" bottom="0.78740157499999996" header="0.31496062000000002" footer="0.31496062000000002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F2457D-A91D-4679-8CFE-62AE4D135AA1}">
  <dimension ref="B1:U37"/>
  <sheetViews>
    <sheetView showGridLines="0" zoomScaleNormal="100" workbookViewId="0">
      <pane xSplit="3" ySplit="2" topLeftCell="D3" activePane="bottomRight" state="frozen"/>
      <selection pane="topRight" activeCell="D1" sqref="D1"/>
      <selection pane="bottomLeft" activeCell="A3" sqref="A3"/>
      <selection pane="bottomRight" activeCell="G17" sqref="G17"/>
    </sheetView>
  </sheetViews>
  <sheetFormatPr defaultColWidth="8.88671875" defaultRowHeight="15" customHeight="1" x14ac:dyDescent="0.3"/>
  <cols>
    <col min="1" max="1" width="3.6640625" customWidth="1"/>
    <col min="2" max="2" width="9.109375"/>
    <col min="3" max="3" width="33.33203125" bestFit="1" customWidth="1"/>
    <col min="4" max="4" width="16.44140625" customWidth="1"/>
    <col min="5" max="5" width="16.44140625" style="1" bestFit="1" customWidth="1"/>
    <col min="6" max="7" width="15.44140625" style="1" customWidth="1"/>
    <col min="8" max="8" width="4.88671875" customWidth="1"/>
    <col min="9" max="9" width="15.6640625" customWidth="1"/>
    <col min="10" max="10" width="15.44140625" customWidth="1"/>
    <col min="11" max="11" width="13.6640625" customWidth="1"/>
    <col min="12" max="12" width="15.44140625" customWidth="1"/>
    <col min="13" max="14" width="15.44140625" bestFit="1" customWidth="1"/>
    <col min="15" max="15" width="15.5546875" bestFit="1" customWidth="1"/>
    <col min="16" max="17" width="15.44140625" bestFit="1" customWidth="1"/>
    <col min="18" max="18" width="15.5546875" bestFit="1" customWidth="1"/>
    <col min="19" max="21" width="15.44140625" bestFit="1" customWidth="1"/>
  </cols>
  <sheetData>
    <row r="1" spans="2:21" ht="15" customHeight="1" x14ac:dyDescent="0.3">
      <c r="D1" s="1"/>
    </row>
    <row r="2" spans="2:21" ht="14.4" x14ac:dyDescent="0.3">
      <c r="C2" s="18"/>
      <c r="D2" s="19" t="s">
        <v>0</v>
      </c>
      <c r="E2" s="19" t="s">
        <v>1</v>
      </c>
      <c r="F2" s="19" t="s">
        <v>2</v>
      </c>
      <c r="G2" s="19" t="s">
        <v>3</v>
      </c>
      <c r="I2" s="58"/>
      <c r="J2" s="59">
        <v>45658</v>
      </c>
      <c r="K2" s="59">
        <f>EDATE(J2,1)</f>
        <v>45689</v>
      </c>
      <c r="L2" s="59">
        <f t="shared" ref="L2:U2" si="0">EDATE(K2,1)</f>
        <v>45717</v>
      </c>
      <c r="M2" s="60">
        <f t="shared" si="0"/>
        <v>45748</v>
      </c>
      <c r="N2" s="60">
        <f t="shared" si="0"/>
        <v>45778</v>
      </c>
      <c r="O2" s="60">
        <f t="shared" si="0"/>
        <v>45809</v>
      </c>
      <c r="P2" s="103">
        <f t="shared" si="0"/>
        <v>45839</v>
      </c>
      <c r="Q2" s="103">
        <f t="shared" si="0"/>
        <v>45870</v>
      </c>
      <c r="R2" s="103">
        <f t="shared" si="0"/>
        <v>45901</v>
      </c>
      <c r="S2" s="61">
        <f t="shared" si="0"/>
        <v>45931</v>
      </c>
      <c r="T2" s="61">
        <f t="shared" si="0"/>
        <v>45962</v>
      </c>
      <c r="U2" s="62">
        <f t="shared" si="0"/>
        <v>45992</v>
      </c>
    </row>
    <row r="3" spans="2:21" ht="15" customHeight="1" x14ac:dyDescent="0.3">
      <c r="B3" s="139" t="s">
        <v>4</v>
      </c>
      <c r="C3" s="20" t="s">
        <v>49</v>
      </c>
      <c r="D3" s="38"/>
      <c r="E3" s="128">
        <v>286104.52889416198</v>
      </c>
      <c r="F3" s="38">
        <f>R9</f>
        <v>378745.86918604653</v>
      </c>
      <c r="G3" s="39">
        <f>U9</f>
        <v>456957.90798654652</v>
      </c>
      <c r="I3" s="63" t="s">
        <v>6</v>
      </c>
      <c r="J3" s="52">
        <v>16074</v>
      </c>
      <c r="K3" s="52">
        <v>19136</v>
      </c>
      <c r="L3" s="52">
        <v>21433</v>
      </c>
      <c r="M3" s="53">
        <v>13472</v>
      </c>
      <c r="N3" s="53">
        <v>14314</v>
      </c>
      <c r="O3" s="53">
        <v>14314</v>
      </c>
      <c r="P3" s="104">
        <v>15750</v>
      </c>
      <c r="Q3" s="104">
        <v>16800</v>
      </c>
      <c r="R3" s="104">
        <v>17850</v>
      </c>
      <c r="S3" s="54">
        <v>21000</v>
      </c>
      <c r="T3" s="54">
        <v>24000</v>
      </c>
      <c r="U3" s="64">
        <v>19000</v>
      </c>
    </row>
    <row r="4" spans="2:21" ht="15" customHeight="1" x14ac:dyDescent="0.3">
      <c r="B4" s="140"/>
      <c r="C4" s="21" t="s">
        <v>50</v>
      </c>
      <c r="D4" s="40"/>
      <c r="E4" s="129">
        <v>235830.87</v>
      </c>
      <c r="F4" s="40">
        <v>310930.25</v>
      </c>
      <c r="G4" s="41">
        <f>SUM(J14:L19)</f>
        <v>269178.74</v>
      </c>
      <c r="I4" s="63" t="s">
        <v>8</v>
      </c>
      <c r="J4" s="52">
        <v>35925</v>
      </c>
      <c r="K4" s="52">
        <v>40322</v>
      </c>
      <c r="L4" s="52">
        <v>30438</v>
      </c>
      <c r="M4" s="53">
        <v>30798</v>
      </c>
      <c r="N4" s="53">
        <v>31185</v>
      </c>
      <c r="O4" s="53">
        <v>31567</v>
      </c>
      <c r="P4" s="104">
        <v>35802</v>
      </c>
      <c r="Q4" s="104">
        <v>37335.06</v>
      </c>
      <c r="R4" s="104">
        <v>38937</v>
      </c>
      <c r="S4" s="54">
        <v>44777.621069999987</v>
      </c>
      <c r="T4" s="54">
        <v>56494.264230499983</v>
      </c>
      <c r="U4" s="64">
        <v>45700</v>
      </c>
    </row>
    <row r="5" spans="2:21" ht="15" customHeight="1" x14ac:dyDescent="0.3">
      <c r="B5" s="140"/>
      <c r="C5" s="21" t="s">
        <v>9</v>
      </c>
      <c r="D5" s="6">
        <f>IFERROR(D4/D3,0)</f>
        <v>0</v>
      </c>
      <c r="E5" s="6">
        <f>IFERROR(E4/E3,0)</f>
        <v>0.82428219822846771</v>
      </c>
      <c r="F5" s="6">
        <f t="shared" ref="F5:G5" si="1">IFERROR(F4/F3,0)</f>
        <v>0.82094690740314236</v>
      </c>
      <c r="G5" s="7">
        <f t="shared" si="1"/>
        <v>0.5890668162108379</v>
      </c>
      <c r="I5" s="63" t="s">
        <v>10</v>
      </c>
      <c r="J5" s="52">
        <v>36036</v>
      </c>
      <c r="K5" s="52">
        <v>36036</v>
      </c>
      <c r="L5" s="52">
        <v>40263</v>
      </c>
      <c r="M5" s="53">
        <v>37280</v>
      </c>
      <c r="N5" s="53">
        <v>25366</v>
      </c>
      <c r="O5" s="53">
        <v>23060</v>
      </c>
      <c r="P5" s="104">
        <v>27962</v>
      </c>
      <c r="Q5" s="104">
        <v>27961.744186046511</v>
      </c>
      <c r="R5" s="104">
        <v>27962</v>
      </c>
      <c r="S5" s="54">
        <v>27961.744186046511</v>
      </c>
      <c r="T5" s="54">
        <v>30000</v>
      </c>
      <c r="U5" s="64">
        <v>18641</v>
      </c>
    </row>
    <row r="6" spans="2:21" ht="15" customHeight="1" x14ac:dyDescent="0.3">
      <c r="B6" s="140"/>
      <c r="C6" s="22" t="s">
        <v>11</v>
      </c>
      <c r="D6" s="23">
        <v>1</v>
      </c>
      <c r="E6" s="23">
        <v>0.6</v>
      </c>
      <c r="F6" s="23">
        <v>0.6</v>
      </c>
      <c r="G6" s="24">
        <v>0.6</v>
      </c>
      <c r="I6" s="63" t="s">
        <v>12</v>
      </c>
      <c r="J6" s="52">
        <v>11699</v>
      </c>
      <c r="K6" s="52">
        <v>22997</v>
      </c>
      <c r="L6" s="52">
        <v>26532</v>
      </c>
      <c r="M6" s="53">
        <v>16380</v>
      </c>
      <c r="N6" s="53">
        <v>19688</v>
      </c>
      <c r="O6" s="53">
        <v>20475</v>
      </c>
      <c r="P6" s="104">
        <v>22782</v>
      </c>
      <c r="Q6" s="104">
        <v>28527.03</v>
      </c>
      <c r="R6" s="104">
        <v>27706.035000000003</v>
      </c>
      <c r="S6" s="54">
        <v>35660.2785</v>
      </c>
      <c r="T6" s="54">
        <v>36500</v>
      </c>
      <c r="U6" s="64">
        <v>28000</v>
      </c>
    </row>
    <row r="7" spans="2:21" ht="15" customHeight="1" x14ac:dyDescent="0.3">
      <c r="B7" s="140"/>
      <c r="C7" s="25"/>
      <c r="D7" s="1"/>
      <c r="G7" s="26"/>
      <c r="I7" s="63" t="s">
        <v>13</v>
      </c>
      <c r="J7" s="52">
        <v>18574</v>
      </c>
      <c r="K7" s="52">
        <v>20652</v>
      </c>
      <c r="L7" s="52">
        <v>26609</v>
      </c>
      <c r="M7" s="53">
        <v>24273</v>
      </c>
      <c r="N7" s="53">
        <v>24489</v>
      </c>
      <c r="O7" s="53">
        <v>27566</v>
      </c>
      <c r="P7" s="104">
        <v>17360</v>
      </c>
      <c r="Q7" s="104">
        <v>17789</v>
      </c>
      <c r="R7" s="104">
        <v>18222</v>
      </c>
      <c r="S7" s="54">
        <v>18429</v>
      </c>
      <c r="T7" s="54">
        <v>29022</v>
      </c>
      <c r="U7" s="64">
        <v>21772</v>
      </c>
    </row>
    <row r="8" spans="2:21" ht="15" customHeight="1" x14ac:dyDescent="0.3">
      <c r="B8" s="140"/>
      <c r="C8" s="20" t="s">
        <v>14</v>
      </c>
      <c r="D8" s="38"/>
      <c r="E8" s="128">
        <v>4046031.84</v>
      </c>
      <c r="F8" s="38">
        <f>R11</f>
        <v>7056092.9360153005</v>
      </c>
      <c r="G8" s="39">
        <f>U11</f>
        <v>6335087.1171905398</v>
      </c>
      <c r="I8" s="63" t="s">
        <v>15</v>
      </c>
      <c r="J8" s="52">
        <v>11261</v>
      </c>
      <c r="K8" s="52">
        <v>13774</v>
      </c>
      <c r="L8" s="52">
        <v>16264</v>
      </c>
      <c r="M8" s="53"/>
      <c r="N8" s="53"/>
      <c r="O8" s="53"/>
      <c r="P8" s="104"/>
      <c r="Q8" s="104"/>
      <c r="R8" s="104"/>
      <c r="S8" s="54"/>
      <c r="T8" s="54"/>
      <c r="U8" s="64"/>
    </row>
    <row r="9" spans="2:21" ht="15" customHeight="1" x14ac:dyDescent="0.3">
      <c r="B9" s="140"/>
      <c r="C9" s="21" t="s">
        <v>16</v>
      </c>
      <c r="D9" s="40"/>
      <c r="E9" s="129">
        <v>6754842.8599999994</v>
      </c>
      <c r="F9" s="40">
        <v>7263249.9600000009</v>
      </c>
      <c r="G9" s="41">
        <f>SUM(J21:L21)</f>
        <v>7402547.5800000001</v>
      </c>
      <c r="I9" s="90" t="s">
        <v>5</v>
      </c>
      <c r="J9" s="91"/>
      <c r="K9" s="91"/>
      <c r="L9" s="95">
        <f>SUM(J3:L8)</f>
        <v>444025</v>
      </c>
      <c r="M9" s="96"/>
      <c r="N9" s="96"/>
      <c r="O9" s="96">
        <f>SUM(M3:O8)</f>
        <v>354227</v>
      </c>
      <c r="P9" s="105"/>
      <c r="Q9" s="105"/>
      <c r="R9" s="105">
        <f>SUM(P3:R8)</f>
        <v>378745.86918604653</v>
      </c>
      <c r="S9" s="97"/>
      <c r="T9" s="97"/>
      <c r="U9" s="98">
        <f>SUM(S3:U8)</f>
        <v>456957.90798654652</v>
      </c>
    </row>
    <row r="10" spans="2:21" ht="14.4" x14ac:dyDescent="0.3">
      <c r="B10" s="140"/>
      <c r="C10" s="21" t="s">
        <v>9</v>
      </c>
      <c r="D10" s="6">
        <f>IFERROR(D9/D8,0)</f>
        <v>0</v>
      </c>
      <c r="E10" s="6">
        <f>IFERROR(E9/E8,0)</f>
        <v>1.6694981965342122</v>
      </c>
      <c r="F10" s="6">
        <f t="shared" ref="F10:G10" si="2">IFERROR(F9/F8,0)</f>
        <v>1.0293586019718279</v>
      </c>
      <c r="G10" s="7">
        <f t="shared" si="2"/>
        <v>1.1684997290586359</v>
      </c>
      <c r="I10" s="63" t="s">
        <v>15</v>
      </c>
      <c r="J10" s="52">
        <v>1199261</v>
      </c>
      <c r="K10" s="52">
        <v>891096</v>
      </c>
      <c r="L10" s="52">
        <v>1114983.8699999999</v>
      </c>
      <c r="M10" s="53">
        <v>1116098.8538699998</v>
      </c>
      <c r="N10" s="53">
        <v>1042733.9558756116</v>
      </c>
      <c r="O10" s="53">
        <v>1043776.689831487</v>
      </c>
      <c r="P10" s="104">
        <v>2549817</v>
      </c>
      <c r="Q10" s="104">
        <v>1694586.9360153</v>
      </c>
      <c r="R10" s="104">
        <v>2811689</v>
      </c>
      <c r="S10" s="131">
        <v>2288683</v>
      </c>
      <c r="T10" s="54">
        <v>1940843.1171905401</v>
      </c>
      <c r="U10" s="64">
        <v>2105561</v>
      </c>
    </row>
    <row r="11" spans="2:21" ht="14.4" x14ac:dyDescent="0.3">
      <c r="B11" s="140"/>
      <c r="C11" s="22" t="s">
        <v>17</v>
      </c>
      <c r="D11" s="23">
        <v>0</v>
      </c>
      <c r="E11" s="23">
        <v>0.4</v>
      </c>
      <c r="F11" s="23">
        <v>0.4</v>
      </c>
      <c r="G11" s="24">
        <v>0.4</v>
      </c>
      <c r="I11" s="92" t="s">
        <v>14</v>
      </c>
      <c r="J11" s="93"/>
      <c r="K11" s="93"/>
      <c r="L11" s="107">
        <f>SUM(J10:L10)</f>
        <v>3205340.87</v>
      </c>
      <c r="M11" s="94"/>
      <c r="N11" s="94"/>
      <c r="O11" s="99">
        <f>SUM(M10:O10)</f>
        <v>3202609.4995770985</v>
      </c>
      <c r="P11" s="106"/>
      <c r="Q11" s="106"/>
      <c r="R11" s="106">
        <f>SUM(P10:R10)</f>
        <v>7056092.9360153005</v>
      </c>
      <c r="S11" s="100"/>
      <c r="T11" s="100"/>
      <c r="U11" s="101">
        <f>SUM(S10:U10)</f>
        <v>6335087.1171905398</v>
      </c>
    </row>
    <row r="12" spans="2:21" ht="14.4" x14ac:dyDescent="0.3">
      <c r="B12" s="140"/>
      <c r="D12" s="1"/>
    </row>
    <row r="13" spans="2:21" ht="14.4" x14ac:dyDescent="0.3">
      <c r="B13" s="140"/>
      <c r="C13" s="20" t="s">
        <v>18</v>
      </c>
      <c r="D13" s="16">
        <v>3600</v>
      </c>
      <c r="E13" s="16">
        <v>3600</v>
      </c>
      <c r="F13" s="16">
        <v>3600</v>
      </c>
      <c r="G13" s="17">
        <v>3600</v>
      </c>
      <c r="J13" s="1" t="s">
        <v>51</v>
      </c>
      <c r="K13" s="1" t="s">
        <v>52</v>
      </c>
      <c r="L13" s="1" t="s">
        <v>53</v>
      </c>
      <c r="M13" s="108"/>
      <c r="N13" s="108"/>
      <c r="O13" s="108"/>
      <c r="P13" s="108"/>
      <c r="Q13" s="108"/>
      <c r="R13" s="108"/>
      <c r="S13" s="108"/>
      <c r="T13" s="108"/>
      <c r="U13" s="108"/>
    </row>
    <row r="14" spans="2:21" ht="15" customHeight="1" x14ac:dyDescent="0.3">
      <c r="B14" s="140"/>
      <c r="C14" s="21" t="s">
        <v>19</v>
      </c>
      <c r="D14" s="8">
        <f>IF(D17&lt;D31,0,IF(D17&gt;D33,1.25,IF(D17&gt;D32,1.15,1)))</f>
        <v>0</v>
      </c>
      <c r="E14" s="8">
        <f>IF(E17&lt;E31,0,IF(E17&gt;E33,1.25,IF(E17&gt;E32,1.15,1)))</f>
        <v>1.25</v>
      </c>
      <c r="F14" s="8">
        <f>IF(F17&lt;F31,0,IF(F17&gt;F33,1.25,IF(F17&gt;F32,1.15,1)))</f>
        <v>1.1499999999999999</v>
      </c>
      <c r="G14" s="9">
        <f>IF(G17&lt;G31,0,IF(G17&gt;G33,1.25,IF(G17&gt;G32,1.15,1)))</f>
        <v>1</v>
      </c>
      <c r="I14" t="s">
        <v>54</v>
      </c>
      <c r="J14" s="132">
        <v>10781.92</v>
      </c>
      <c r="K14" s="132">
        <v>25942.54</v>
      </c>
      <c r="L14" s="132">
        <v>25262.22</v>
      </c>
      <c r="M14" s="108"/>
      <c r="N14" s="108"/>
      <c r="O14" s="108"/>
      <c r="P14" s="108"/>
      <c r="Q14" s="108"/>
      <c r="R14" s="108"/>
      <c r="S14" s="108"/>
      <c r="T14" s="108"/>
      <c r="U14" s="108"/>
    </row>
    <row r="15" spans="2:21" ht="14.4" x14ac:dyDescent="0.3">
      <c r="B15" s="141"/>
      <c r="C15" s="27" t="s">
        <v>20</v>
      </c>
      <c r="D15" s="10">
        <f>D13*D14</f>
        <v>0</v>
      </c>
      <c r="E15" s="10">
        <f>E13*E14</f>
        <v>4500</v>
      </c>
      <c r="F15" s="10">
        <f t="shared" ref="F15:G15" si="3">F13*F14</f>
        <v>4140</v>
      </c>
      <c r="G15" s="11">
        <f t="shared" si="3"/>
        <v>3600</v>
      </c>
      <c r="I15" t="s">
        <v>55</v>
      </c>
      <c r="J15" s="132">
        <v>6645.34</v>
      </c>
      <c r="K15" s="132">
        <v>18735.89</v>
      </c>
      <c r="L15" s="132">
        <v>18711.41</v>
      </c>
      <c r="M15" s="108"/>
      <c r="N15" s="108"/>
      <c r="O15" s="108"/>
      <c r="P15" s="108"/>
      <c r="Q15" s="108"/>
      <c r="R15" s="108"/>
      <c r="S15" s="108"/>
      <c r="T15" s="108"/>
      <c r="U15" s="108"/>
    </row>
    <row r="16" spans="2:21" ht="14.4" x14ac:dyDescent="0.3">
      <c r="C16" s="25"/>
      <c r="D16" s="1"/>
      <c r="G16" s="26"/>
      <c r="I16" t="s">
        <v>56</v>
      </c>
      <c r="J16" s="132">
        <v>5024.2700000000004</v>
      </c>
      <c r="K16" s="132">
        <v>6756.01</v>
      </c>
      <c r="L16" s="132">
        <v>11531.87</v>
      </c>
      <c r="M16" s="108"/>
      <c r="N16" s="108"/>
      <c r="O16" s="108"/>
      <c r="U16" s="130"/>
    </row>
    <row r="17" spans="2:21" ht="14.4" x14ac:dyDescent="0.3">
      <c r="C17" s="84" t="s">
        <v>21</v>
      </c>
      <c r="D17" s="85">
        <f>(D6*D5) + (D10*D11)</f>
        <v>0</v>
      </c>
      <c r="E17" s="85">
        <f>(E6*E5) + (E10*E11)</f>
        <v>1.1623685975507656</v>
      </c>
      <c r="F17" s="85">
        <f t="shared" ref="F17:G17" si="4">(F6*F5) + (F10*F11)</f>
        <v>0.90431158523061661</v>
      </c>
      <c r="G17" s="86">
        <f t="shared" si="4"/>
        <v>0.82083998134995706</v>
      </c>
      <c r="I17" t="s">
        <v>57</v>
      </c>
      <c r="J17" s="132">
        <v>23815.69</v>
      </c>
      <c r="K17" s="132">
        <v>42912.4</v>
      </c>
      <c r="L17" s="132">
        <v>40133.4</v>
      </c>
      <c r="U17" s="130"/>
    </row>
    <row r="18" spans="2:21" ht="14.4" x14ac:dyDescent="0.3">
      <c r="C18" s="87" t="s">
        <v>22</v>
      </c>
      <c r="D18" s="88">
        <f>IF(D5&lt;D31,0,D17*D15)</f>
        <v>0</v>
      </c>
      <c r="E18" s="88">
        <f>IF(E5&lt;E31,0,E17*E15)</f>
        <v>5230.6586889784448</v>
      </c>
      <c r="F18" s="88">
        <f>IF(F17&lt;F31,0,F17*F15)</f>
        <v>3743.8499628547529</v>
      </c>
      <c r="G18" s="89">
        <f>IF(G17&lt;G31,0,G17*G15)</f>
        <v>2955.0239328598454</v>
      </c>
      <c r="I18" t="s">
        <v>58</v>
      </c>
      <c r="J18" s="132">
        <v>1001.85</v>
      </c>
      <c r="K18" s="132">
        <v>1114.3499999999999</v>
      </c>
      <c r="L18" s="132">
        <v>3087.25</v>
      </c>
    </row>
    <row r="19" spans="2:21" ht="14.4" x14ac:dyDescent="0.3">
      <c r="D19" s="1"/>
      <c r="I19" t="s">
        <v>59</v>
      </c>
      <c r="J19" s="132">
        <v>6915.9</v>
      </c>
      <c r="K19" s="133">
        <v>5951.03</v>
      </c>
      <c r="L19" s="132">
        <v>14855.4</v>
      </c>
    </row>
    <row r="20" spans="2:21" ht="14.4" x14ac:dyDescent="0.3">
      <c r="C20" s="30" t="s">
        <v>23</v>
      </c>
      <c r="D20" s="4">
        <f>D18</f>
        <v>0</v>
      </c>
      <c r="E20" s="4">
        <f>E18</f>
        <v>5230.6586889784448</v>
      </c>
      <c r="F20" s="4">
        <f t="shared" ref="F20:G20" si="5">F18</f>
        <v>3743.8499628547529</v>
      </c>
      <c r="G20" s="5">
        <f t="shared" si="5"/>
        <v>2955.0239328598454</v>
      </c>
    </row>
    <row r="21" spans="2:21" ht="14.4" x14ac:dyDescent="0.3">
      <c r="C21" s="31" t="s">
        <v>24</v>
      </c>
      <c r="D21" s="2"/>
      <c r="E21" s="2"/>
      <c r="F21" s="2"/>
      <c r="G21" s="3"/>
      <c r="I21" t="s">
        <v>15</v>
      </c>
      <c r="J21" s="130">
        <v>1973034.37</v>
      </c>
      <c r="K21" s="130">
        <v>4365371.76</v>
      </c>
      <c r="L21" s="130">
        <v>1064141.45</v>
      </c>
    </row>
    <row r="22" spans="2:21" ht="14.4" x14ac:dyDescent="0.3">
      <c r="C22" s="32" t="s">
        <v>25</v>
      </c>
      <c r="D22" s="14">
        <f>SUM(D20:D21)</f>
        <v>0</v>
      </c>
      <c r="E22" s="14">
        <f>SUM(E20:E21)</f>
        <v>5230.6586889784448</v>
      </c>
      <c r="F22" s="14">
        <f>SUM(F20:F21)</f>
        <v>3743.8499628547529</v>
      </c>
      <c r="G22" s="15">
        <f>SUM(G20:G21)</f>
        <v>2955.0239328598454</v>
      </c>
    </row>
    <row r="23" spans="2:21" ht="14.4" x14ac:dyDescent="0.3">
      <c r="D23" s="1"/>
      <c r="J23" s="130"/>
    </row>
    <row r="24" spans="2:21" ht="14.4" x14ac:dyDescent="0.3">
      <c r="B24" s="142" t="s">
        <v>26</v>
      </c>
      <c r="C24" s="42" t="s">
        <v>27</v>
      </c>
      <c r="D24" s="43"/>
      <c r="E24" s="43"/>
      <c r="F24" s="43"/>
      <c r="G24" s="44"/>
    </row>
    <row r="25" spans="2:21" ht="14.4" x14ac:dyDescent="0.3">
      <c r="B25" s="143"/>
      <c r="C25" s="45" t="s">
        <v>28</v>
      </c>
      <c r="D25" s="2"/>
      <c r="E25" s="2"/>
      <c r="F25" s="2"/>
      <c r="G25" s="46"/>
    </row>
    <row r="26" spans="2:21" ht="14.4" x14ac:dyDescent="0.3">
      <c r="B26" s="143"/>
      <c r="C26" s="45" t="s">
        <v>29</v>
      </c>
      <c r="D26" s="6">
        <f t="shared" ref="D26:F26" si="6">IFERROR(D25/D24,0)</f>
        <v>0</v>
      </c>
      <c r="E26" s="6">
        <f t="shared" si="6"/>
        <v>0</v>
      </c>
      <c r="F26" s="6">
        <f t="shared" si="6"/>
        <v>0</v>
      </c>
      <c r="G26" s="47">
        <f>IFERROR(G25/G24,0)</f>
        <v>0</v>
      </c>
      <c r="I26" s="51"/>
    </row>
    <row r="27" spans="2:21" ht="14.4" x14ac:dyDescent="0.3">
      <c r="B27" s="144"/>
      <c r="C27" s="48" t="s">
        <v>30</v>
      </c>
      <c r="D27" s="49">
        <f>IF(D26&lt;D36,0,D21*D35)</f>
        <v>0</v>
      </c>
      <c r="E27" s="49">
        <f>IF(E26&lt;E36,0,E21*E35)</f>
        <v>0</v>
      </c>
      <c r="F27" s="49">
        <f t="shared" ref="F27:G27" si="7">IF(F26&lt;F36,0,F21*F35)</f>
        <v>0</v>
      </c>
      <c r="G27" s="50">
        <f t="shared" si="7"/>
        <v>0</v>
      </c>
    </row>
    <row r="28" spans="2:21" ht="14.4" x14ac:dyDescent="0.3">
      <c r="D28" s="83"/>
      <c r="E28" s="83"/>
      <c r="F28" s="83"/>
      <c r="G28" s="37"/>
    </row>
    <row r="29" spans="2:21" ht="14.4" x14ac:dyDescent="0.3">
      <c r="D29" s="1"/>
    </row>
    <row r="30" spans="2:21" ht="14.4" x14ac:dyDescent="0.3">
      <c r="C30" s="33" t="s">
        <v>31</v>
      </c>
      <c r="D30" s="19" t="s">
        <v>0</v>
      </c>
      <c r="E30" s="19" t="s">
        <v>1</v>
      </c>
      <c r="F30" s="19" t="s">
        <v>2</v>
      </c>
      <c r="G30" s="19" t="s">
        <v>3</v>
      </c>
      <c r="H30" s="19"/>
    </row>
    <row r="31" spans="2:21" ht="14.4" x14ac:dyDescent="0.3">
      <c r="C31" s="74" t="s">
        <v>32</v>
      </c>
      <c r="D31" s="75">
        <v>0.8</v>
      </c>
      <c r="E31" s="75">
        <v>0.8</v>
      </c>
      <c r="F31" s="75">
        <v>0.8</v>
      </c>
      <c r="G31" s="76">
        <v>0.8</v>
      </c>
      <c r="H31" s="34" t="s">
        <v>33</v>
      </c>
    </row>
    <row r="32" spans="2:21" ht="14.4" x14ac:dyDescent="0.3">
      <c r="C32" s="77" t="s">
        <v>34</v>
      </c>
      <c r="D32" s="36">
        <v>0.9</v>
      </c>
      <c r="E32" s="36">
        <v>0.9</v>
      </c>
      <c r="F32" s="36">
        <v>0.9</v>
      </c>
      <c r="G32" s="78">
        <v>0.9</v>
      </c>
      <c r="H32" s="34" t="s">
        <v>35</v>
      </c>
    </row>
    <row r="33" spans="3:8" ht="14.4" x14ac:dyDescent="0.3">
      <c r="C33" s="77" t="s">
        <v>36</v>
      </c>
      <c r="D33" s="36">
        <v>1</v>
      </c>
      <c r="E33" s="36">
        <v>1</v>
      </c>
      <c r="F33" s="36">
        <v>1</v>
      </c>
      <c r="G33" s="78">
        <v>1</v>
      </c>
      <c r="H33" s="34" t="s">
        <v>35</v>
      </c>
    </row>
    <row r="34" spans="3:8" ht="14.4" x14ac:dyDescent="0.3">
      <c r="C34" s="77" t="s">
        <v>37</v>
      </c>
      <c r="D34" s="35" t="s">
        <v>38</v>
      </c>
      <c r="E34" s="35" t="s">
        <v>38</v>
      </c>
      <c r="F34" s="35" t="s">
        <v>38</v>
      </c>
      <c r="G34" s="79" t="s">
        <v>38</v>
      </c>
      <c r="H34" s="34" t="s">
        <v>39</v>
      </c>
    </row>
    <row r="35" spans="3:8" ht="14.4" x14ac:dyDescent="0.3">
      <c r="C35" s="77" t="s">
        <v>40</v>
      </c>
      <c r="D35" s="35">
        <v>1</v>
      </c>
      <c r="E35" s="35">
        <v>1</v>
      </c>
      <c r="F35" s="35">
        <v>1</v>
      </c>
      <c r="G35" s="79">
        <v>1</v>
      </c>
      <c r="H35" s="34" t="s">
        <v>41</v>
      </c>
    </row>
    <row r="36" spans="3:8" ht="14.4" x14ac:dyDescent="0.3">
      <c r="C36" s="80" t="s">
        <v>42</v>
      </c>
      <c r="D36" s="81">
        <v>1.07</v>
      </c>
      <c r="E36" s="81">
        <v>1.07</v>
      </c>
      <c r="F36" s="81">
        <v>1</v>
      </c>
      <c r="G36" s="82">
        <v>1</v>
      </c>
      <c r="H36" s="34" t="s">
        <v>43</v>
      </c>
    </row>
    <row r="37" spans="3:8" ht="14.4" x14ac:dyDescent="0.3">
      <c r="D37" s="1"/>
    </row>
  </sheetData>
  <sheetProtection algorithmName="SHA-512" hashValue="/gQ5ncQ2tE9GHqVmlcRam93BQoCLP8gdXvtcz97mAubZnqwzyQ2ixhIzO54+w7VMivbGw+T5Agdt1xhzQEHc6w==" saltValue="RlBroiWJxIge+2lw/3urVw==" spinCount="100000" sheet="1" formatCells="0" formatColumns="0" formatRows="0"/>
  <protectedRanges>
    <protectedRange sqref="J8:L8 M10:R10 J6:R7" name="Range1"/>
  </protectedRanges>
  <mergeCells count="2">
    <mergeCell ref="B3:B15"/>
    <mergeCell ref="B24:B27"/>
  </mergeCells>
  <dataValidations disablePrompts="1" count="1">
    <dataValidation type="decimal" allowBlank="1" showInputMessage="1" showErrorMessage="1" sqref="D21:G21 D8:G9 D13:G13 D25:G25 D3:G4" xr:uid="{D7811F3D-D1DF-4E08-A82A-2C4E8547BE00}">
      <formula1>0</formula1>
      <formula2>100000000</formula2>
    </dataValidation>
  </dataValidations>
  <pageMargins left="0.511811024" right="0.511811024" top="0.78740157499999996" bottom="0.78740157499999996" header="0.31496062000000002" footer="0.31496062000000002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5BD9B-FA39-4E5A-B5AA-A200F9399767}">
  <dimension ref="B1:V34"/>
  <sheetViews>
    <sheetView showGridLines="0" tabSelected="1" topLeftCell="A10" zoomScaleNormal="100" workbookViewId="0">
      <pane xSplit="3" topLeftCell="D1" activePane="topRight" state="frozen"/>
      <selection activeCell="A3" sqref="A3"/>
      <selection pane="topRight" activeCell="E26" sqref="E26"/>
    </sheetView>
  </sheetViews>
  <sheetFormatPr defaultColWidth="8.88671875" defaultRowHeight="15" customHeight="1" x14ac:dyDescent="0.3"/>
  <cols>
    <col min="1" max="1" width="3.6640625" customWidth="1"/>
    <col min="2" max="2" width="9.109375"/>
    <col min="3" max="3" width="33.33203125" bestFit="1" customWidth="1"/>
    <col min="4" max="4" width="16.44140625" customWidth="1"/>
    <col min="5" max="5" width="16.44140625" style="1" bestFit="1" customWidth="1"/>
    <col min="6" max="7" width="15.44140625" style="1" customWidth="1"/>
    <col min="8" max="9" width="4.88671875" customWidth="1"/>
    <col min="10" max="10" width="15.6640625" customWidth="1"/>
    <col min="11" max="11" width="15.44140625" customWidth="1"/>
    <col min="12" max="12" width="15.44140625" bestFit="1" customWidth="1"/>
    <col min="13" max="13" width="15.44140625" customWidth="1"/>
    <col min="14" max="15" width="15.44140625" bestFit="1" customWidth="1"/>
    <col min="16" max="16" width="15.5546875" bestFit="1" customWidth="1"/>
    <col min="17" max="18" width="15.44140625" bestFit="1" customWidth="1"/>
    <col min="19" max="19" width="15.5546875" bestFit="1" customWidth="1"/>
    <col min="20" max="22" width="15.44140625" bestFit="1" customWidth="1"/>
  </cols>
  <sheetData>
    <row r="1" spans="2:22" ht="15" customHeight="1" x14ac:dyDescent="0.3">
      <c r="D1" s="1"/>
    </row>
    <row r="2" spans="2:22" ht="14.4" x14ac:dyDescent="0.3">
      <c r="C2" s="18"/>
      <c r="D2" s="19" t="s">
        <v>0</v>
      </c>
      <c r="E2" s="19" t="s">
        <v>1</v>
      </c>
      <c r="F2" s="19" t="s">
        <v>2</v>
      </c>
      <c r="G2" s="19" t="s">
        <v>3</v>
      </c>
      <c r="I2" s="158" t="s">
        <v>60</v>
      </c>
      <c r="J2" s="134"/>
      <c r="K2" s="59">
        <v>46023</v>
      </c>
      <c r="L2" s="59">
        <f>EDATE(K2,1)</f>
        <v>46054</v>
      </c>
      <c r="M2" s="59">
        <f t="shared" ref="M2:V2" si="0">EDATE(L2,1)</f>
        <v>46082</v>
      </c>
      <c r="N2" s="60">
        <f t="shared" si="0"/>
        <v>46113</v>
      </c>
      <c r="O2" s="60">
        <f t="shared" si="0"/>
        <v>46143</v>
      </c>
      <c r="P2" s="60">
        <f t="shared" si="0"/>
        <v>46174</v>
      </c>
      <c r="Q2" s="103">
        <f t="shared" si="0"/>
        <v>46204</v>
      </c>
      <c r="R2" s="103">
        <f t="shared" si="0"/>
        <v>46235</v>
      </c>
      <c r="S2" s="103">
        <f t="shared" si="0"/>
        <v>46266</v>
      </c>
      <c r="T2" s="61">
        <f t="shared" si="0"/>
        <v>46296</v>
      </c>
      <c r="U2" s="61">
        <f t="shared" si="0"/>
        <v>46327</v>
      </c>
      <c r="V2" s="62">
        <f t="shared" si="0"/>
        <v>46357</v>
      </c>
    </row>
    <row r="3" spans="2:22" ht="15" customHeight="1" x14ac:dyDescent="0.3">
      <c r="B3" s="139" t="s">
        <v>4</v>
      </c>
      <c r="C3" s="20" t="s">
        <v>49</v>
      </c>
      <c r="D3" s="38">
        <f>K8</f>
        <v>347532.79133605998</v>
      </c>
      <c r="E3" s="38">
        <f>N8</f>
        <v>0</v>
      </c>
      <c r="F3" s="38">
        <f>Q8</f>
        <v>0</v>
      </c>
      <c r="G3" s="39">
        <f>T8</f>
        <v>0</v>
      </c>
      <c r="I3" s="159"/>
      <c r="J3" s="136" t="s">
        <v>10</v>
      </c>
      <c r="K3" s="138">
        <v>14602.691449999998</v>
      </c>
      <c r="L3" s="138">
        <v>18893</v>
      </c>
      <c r="M3" s="138">
        <v>23000</v>
      </c>
      <c r="N3" s="53"/>
      <c r="O3" s="53"/>
      <c r="P3" s="53"/>
      <c r="Q3" s="104"/>
      <c r="R3" s="104"/>
      <c r="S3" s="104"/>
      <c r="T3" s="54"/>
      <c r="U3" s="54"/>
      <c r="V3" s="64"/>
    </row>
    <row r="4" spans="2:22" ht="15" customHeight="1" x14ac:dyDescent="0.3">
      <c r="B4" s="140"/>
      <c r="C4" s="21" t="s">
        <v>50</v>
      </c>
      <c r="D4" s="40">
        <f>K19</f>
        <v>255651.04</v>
      </c>
      <c r="E4" s="40">
        <f>N19</f>
        <v>0</v>
      </c>
      <c r="F4" s="40">
        <f>Q19</f>
        <v>0</v>
      </c>
      <c r="G4" s="41">
        <f>T19</f>
        <v>0</v>
      </c>
      <c r="I4" s="159"/>
      <c r="J4" s="136" t="s">
        <v>13</v>
      </c>
      <c r="K4" s="138">
        <v>10633</v>
      </c>
      <c r="L4" s="138">
        <v>10633</v>
      </c>
      <c r="M4" s="138">
        <v>12735</v>
      </c>
      <c r="N4" s="53"/>
      <c r="O4" s="53"/>
      <c r="P4" s="53"/>
      <c r="Q4" s="104"/>
      <c r="R4" s="104"/>
      <c r="S4" s="104"/>
      <c r="T4" s="54"/>
      <c r="U4" s="54"/>
      <c r="V4" s="64"/>
    </row>
    <row r="5" spans="2:22" ht="15" customHeight="1" x14ac:dyDescent="0.3">
      <c r="B5" s="140"/>
      <c r="C5" s="21" t="s">
        <v>9</v>
      </c>
      <c r="D5" s="6">
        <f>IFERROR(D4/D3,0)</f>
        <v>0.73561703060356276</v>
      </c>
      <c r="E5" s="6">
        <f>IFERROR(E4/E3,0)</f>
        <v>0</v>
      </c>
      <c r="F5" s="6">
        <f t="shared" ref="F5:G5" si="1">IFERROR(F4/F3,0)</f>
        <v>0</v>
      </c>
      <c r="G5" s="7">
        <f t="shared" si="1"/>
        <v>0</v>
      </c>
      <c r="I5" s="159"/>
      <c r="J5" s="136" t="s">
        <v>61</v>
      </c>
      <c r="K5" s="138">
        <v>17687</v>
      </c>
      <c r="L5" s="138">
        <v>19455.7</v>
      </c>
      <c r="M5" s="138">
        <v>21000</v>
      </c>
      <c r="N5" s="53"/>
      <c r="O5" s="53"/>
      <c r="P5" s="53"/>
      <c r="Q5" s="104"/>
      <c r="R5" s="104"/>
      <c r="S5" s="104"/>
      <c r="T5" s="54"/>
      <c r="U5" s="54"/>
      <c r="V5" s="64"/>
    </row>
    <row r="6" spans="2:22" ht="15" customHeight="1" x14ac:dyDescent="0.3">
      <c r="B6" s="140"/>
      <c r="C6" s="22" t="s">
        <v>11</v>
      </c>
      <c r="D6" s="23">
        <v>0.6</v>
      </c>
      <c r="E6" s="23">
        <v>0.6</v>
      </c>
      <c r="F6" s="23">
        <v>0.6</v>
      </c>
      <c r="G6" s="24">
        <v>0.6</v>
      </c>
      <c r="I6" s="159"/>
      <c r="J6" s="136" t="s">
        <v>62</v>
      </c>
      <c r="K6" s="138">
        <v>12714</v>
      </c>
      <c r="L6" s="138">
        <v>13793</v>
      </c>
      <c r="M6" s="138">
        <v>16000</v>
      </c>
      <c r="N6" s="53"/>
      <c r="O6" s="53"/>
      <c r="P6" s="53"/>
      <c r="Q6" s="104"/>
      <c r="R6" s="104"/>
      <c r="S6" s="104"/>
      <c r="T6" s="54"/>
      <c r="U6" s="54"/>
      <c r="V6" s="64"/>
    </row>
    <row r="7" spans="2:22" ht="15" customHeight="1" x14ac:dyDescent="0.3">
      <c r="B7" s="140"/>
      <c r="C7" s="25"/>
      <c r="D7" s="1"/>
      <c r="G7" s="26"/>
      <c r="I7" s="159"/>
      <c r="J7" s="136" t="s">
        <v>8</v>
      </c>
      <c r="K7" s="138">
        <v>42400.099886059994</v>
      </c>
      <c r="L7" s="138">
        <v>49429</v>
      </c>
      <c r="M7" s="138">
        <v>64557.3</v>
      </c>
      <c r="N7" s="53"/>
      <c r="O7" s="53"/>
      <c r="P7" s="53"/>
      <c r="Q7" s="104"/>
      <c r="R7" s="104"/>
      <c r="S7" s="104"/>
      <c r="T7" s="54"/>
      <c r="U7" s="54"/>
      <c r="V7" s="64"/>
    </row>
    <row r="8" spans="2:22" ht="15" customHeight="1" x14ac:dyDescent="0.3">
      <c r="B8" s="140"/>
      <c r="C8" s="20" t="s">
        <v>14</v>
      </c>
      <c r="D8" s="38">
        <f>K10</f>
        <v>6331901</v>
      </c>
      <c r="E8" s="38">
        <f>N10</f>
        <v>0</v>
      </c>
      <c r="F8" s="38">
        <f>Q10</f>
        <v>0</v>
      </c>
      <c r="G8" s="39">
        <f>T10</f>
        <v>0</v>
      </c>
      <c r="I8" s="159"/>
      <c r="J8" s="137" t="s">
        <v>5</v>
      </c>
      <c r="K8" s="161">
        <f>SUM(K3:M7)</f>
        <v>347532.79133605998</v>
      </c>
      <c r="L8" s="161"/>
      <c r="M8" s="161"/>
      <c r="N8" s="155">
        <f>SUM(N3:P7)</f>
        <v>0</v>
      </c>
      <c r="O8" s="155"/>
      <c r="P8" s="155"/>
      <c r="Q8" s="149">
        <f>SUM(Q3:S7)</f>
        <v>0</v>
      </c>
      <c r="R8" s="149"/>
      <c r="S8" s="149"/>
      <c r="T8" s="151">
        <f>SUM(T3:V7)</f>
        <v>0</v>
      </c>
      <c r="U8" s="151"/>
      <c r="V8" s="152"/>
    </row>
    <row r="9" spans="2:22" ht="15" customHeight="1" x14ac:dyDescent="0.3">
      <c r="B9" s="140"/>
      <c r="C9" s="21" t="s">
        <v>16</v>
      </c>
      <c r="D9" s="40">
        <f>K21</f>
        <v>5174820.2799999993</v>
      </c>
      <c r="E9" s="40">
        <f>N21</f>
        <v>0</v>
      </c>
      <c r="F9" s="40">
        <f>Q21</f>
        <v>0</v>
      </c>
      <c r="G9" s="41">
        <f>T21</f>
        <v>0</v>
      </c>
      <c r="I9" s="159"/>
      <c r="J9" s="136" t="s">
        <v>15</v>
      </c>
      <c r="K9" s="138">
        <v>2217119</v>
      </c>
      <c r="L9" s="138">
        <v>2334955</v>
      </c>
      <c r="M9" s="138">
        <v>1779827</v>
      </c>
      <c r="N9" s="53"/>
      <c r="O9" s="53"/>
      <c r="P9" s="53"/>
      <c r="Q9" s="104"/>
      <c r="R9" s="104"/>
      <c r="S9" s="104"/>
      <c r="T9" s="54"/>
      <c r="U9" s="54"/>
      <c r="V9" s="64"/>
    </row>
    <row r="10" spans="2:22" ht="15" customHeight="1" x14ac:dyDescent="0.3">
      <c r="B10" s="140"/>
      <c r="C10" s="21" t="s">
        <v>9</v>
      </c>
      <c r="D10" s="6">
        <f>IFERROR(D9/D8,0)</f>
        <v>0.8172617165050432</v>
      </c>
      <c r="E10" s="6">
        <f>IFERROR(E9/E8,0)</f>
        <v>0</v>
      </c>
      <c r="F10" s="6">
        <f t="shared" ref="F10:G10" si="2">IFERROR(F9/F8,0)</f>
        <v>0</v>
      </c>
      <c r="G10" s="7">
        <f t="shared" si="2"/>
        <v>0</v>
      </c>
      <c r="I10" s="160"/>
      <c r="J10" s="135" t="s">
        <v>14</v>
      </c>
      <c r="K10" s="157">
        <f>SUM(K9:M9)</f>
        <v>6331901</v>
      </c>
      <c r="L10" s="157"/>
      <c r="M10" s="157"/>
      <c r="N10" s="156">
        <f>SUM(N9:P9)</f>
        <v>0</v>
      </c>
      <c r="O10" s="156"/>
      <c r="P10" s="156"/>
      <c r="Q10" s="150">
        <f>SUM(Q9:S9)</f>
        <v>0</v>
      </c>
      <c r="R10" s="150"/>
      <c r="S10" s="150"/>
      <c r="T10" s="153">
        <f>SUM(T9:V9)</f>
        <v>0</v>
      </c>
      <c r="U10" s="153"/>
      <c r="V10" s="154"/>
    </row>
    <row r="11" spans="2:22" ht="14.4" x14ac:dyDescent="0.3">
      <c r="B11" s="140"/>
      <c r="C11" s="22" t="s">
        <v>17</v>
      </c>
      <c r="D11" s="23">
        <v>0.4</v>
      </c>
      <c r="E11" s="23">
        <v>0.4</v>
      </c>
      <c r="F11" s="23">
        <v>0.4</v>
      </c>
      <c r="G11" s="24">
        <v>0.4</v>
      </c>
    </row>
    <row r="12" spans="2:22" ht="14.4" x14ac:dyDescent="0.3">
      <c r="B12" s="140"/>
      <c r="D12" s="1"/>
    </row>
    <row r="13" spans="2:22" ht="14.4" x14ac:dyDescent="0.3">
      <c r="B13" s="140"/>
      <c r="C13" s="20" t="s">
        <v>18</v>
      </c>
      <c r="D13" s="16">
        <v>3600</v>
      </c>
      <c r="E13" s="16">
        <v>3600</v>
      </c>
      <c r="F13" s="16">
        <v>3600</v>
      </c>
      <c r="G13" s="17">
        <v>3600</v>
      </c>
      <c r="I13" s="158" t="s">
        <v>63</v>
      </c>
      <c r="J13" s="134"/>
      <c r="K13" s="59">
        <f>K2</f>
        <v>46023</v>
      </c>
      <c r="L13" s="59">
        <f t="shared" ref="L13:V13" si="3">L2</f>
        <v>46054</v>
      </c>
      <c r="M13" s="59">
        <f t="shared" si="3"/>
        <v>46082</v>
      </c>
      <c r="N13" s="60">
        <f t="shared" si="3"/>
        <v>46113</v>
      </c>
      <c r="O13" s="60">
        <f t="shared" si="3"/>
        <v>46143</v>
      </c>
      <c r="P13" s="60">
        <f t="shared" si="3"/>
        <v>46174</v>
      </c>
      <c r="Q13" s="103">
        <f t="shared" si="3"/>
        <v>46204</v>
      </c>
      <c r="R13" s="103">
        <f t="shared" si="3"/>
        <v>46235</v>
      </c>
      <c r="S13" s="103">
        <f t="shared" si="3"/>
        <v>46266</v>
      </c>
      <c r="T13" s="61">
        <f t="shared" si="3"/>
        <v>46296</v>
      </c>
      <c r="U13" s="61">
        <f t="shared" si="3"/>
        <v>46327</v>
      </c>
      <c r="V13" s="62">
        <f t="shared" si="3"/>
        <v>46357</v>
      </c>
    </row>
    <row r="14" spans="2:22" ht="15" customHeight="1" x14ac:dyDescent="0.3">
      <c r="B14" s="140"/>
      <c r="C14" s="21" t="s">
        <v>19</v>
      </c>
      <c r="D14" s="8">
        <f>IF(D17&lt;D31,0,IF(D17&gt;D33,1.25,IF(D17&gt;D32,1.15,1)))</f>
        <v>0</v>
      </c>
      <c r="E14" s="8">
        <f>IF(E17&lt;E31,0,IF(E17&gt;E33,1.25,IF(E17&gt;E32,1.15,1)))</f>
        <v>0</v>
      </c>
      <c r="F14" s="8">
        <f>IF(F17&lt;F31,0,IF(F17&gt;F33,1.25,IF(F17&gt;F32,1.15,1)))</f>
        <v>0</v>
      </c>
      <c r="G14" s="9">
        <f>IF(G17&lt;G31,0,IF(G17&gt;G33,1.25,IF(G17&gt;G32,1.15,1)))</f>
        <v>0</v>
      </c>
      <c r="I14" s="159"/>
      <c r="J14" s="136" t="s">
        <v>10</v>
      </c>
      <c r="K14" s="138">
        <v>13806.01</v>
      </c>
      <c r="L14" s="138">
        <v>14037.99</v>
      </c>
      <c r="M14" s="138">
        <v>19933.53</v>
      </c>
      <c r="N14" s="53"/>
      <c r="O14" s="53"/>
      <c r="P14" s="53"/>
      <c r="Q14" s="104"/>
      <c r="R14" s="104"/>
      <c r="S14" s="104"/>
      <c r="T14" s="54"/>
      <c r="U14" s="54"/>
      <c r="V14" s="64"/>
    </row>
    <row r="15" spans="2:22" ht="14.4" x14ac:dyDescent="0.3">
      <c r="B15" s="141"/>
      <c r="C15" s="27" t="s">
        <v>20</v>
      </c>
      <c r="D15" s="10">
        <f>D13*D14</f>
        <v>0</v>
      </c>
      <c r="E15" s="10">
        <f>E13*E14</f>
        <v>0</v>
      </c>
      <c r="F15" s="10">
        <f t="shared" ref="F15:G15" si="4">F13*F14</f>
        <v>0</v>
      </c>
      <c r="G15" s="11">
        <f t="shared" si="4"/>
        <v>0</v>
      </c>
      <c r="I15" s="159"/>
      <c r="J15" s="136" t="s">
        <v>13</v>
      </c>
      <c r="K15" s="138">
        <v>2361.15</v>
      </c>
      <c r="L15" s="138">
        <v>2958</v>
      </c>
      <c r="M15" s="138">
        <v>840</v>
      </c>
      <c r="N15" s="53"/>
      <c r="O15" s="53"/>
      <c r="P15" s="53"/>
      <c r="Q15" s="104"/>
      <c r="R15" s="104"/>
      <c r="S15" s="104"/>
      <c r="T15" s="54"/>
      <c r="U15" s="54"/>
      <c r="V15" s="64"/>
    </row>
    <row r="16" spans="2:22" ht="14.4" x14ac:dyDescent="0.3">
      <c r="C16" s="25"/>
      <c r="D16" s="1"/>
      <c r="G16" s="26"/>
      <c r="I16" s="159"/>
      <c r="J16" s="136" t="s">
        <v>61</v>
      </c>
      <c r="K16" s="138">
        <v>6152.97</v>
      </c>
      <c r="L16" s="138">
        <v>17626.12</v>
      </c>
      <c r="M16" s="138">
        <v>19339.330000000002</v>
      </c>
      <c r="N16" s="53"/>
      <c r="O16" s="53"/>
      <c r="P16" s="53"/>
      <c r="Q16" s="104"/>
      <c r="R16" s="104"/>
      <c r="S16" s="104"/>
      <c r="T16" s="54"/>
      <c r="U16" s="54"/>
      <c r="V16" s="64"/>
    </row>
    <row r="17" spans="2:22" ht="14.4" x14ac:dyDescent="0.3">
      <c r="C17" s="84" t="s">
        <v>21</v>
      </c>
      <c r="D17" s="85">
        <f>(D6*D5) + (D10*D11)</f>
        <v>0.76827490496415496</v>
      </c>
      <c r="E17" s="85">
        <f>(E6*E5) + (E10*E11)</f>
        <v>0</v>
      </c>
      <c r="F17" s="85">
        <f t="shared" ref="F17:G17" si="5">(F6*F5) + (F10*F11)</f>
        <v>0</v>
      </c>
      <c r="G17" s="86">
        <f t="shared" si="5"/>
        <v>0</v>
      </c>
      <c r="I17" s="159"/>
      <c r="J17" s="136" t="s">
        <v>62</v>
      </c>
      <c r="K17" s="138">
        <v>12878.84</v>
      </c>
      <c r="L17" s="138">
        <v>7832.11</v>
      </c>
      <c r="M17" s="138">
        <v>9889.2099999999991</v>
      </c>
      <c r="N17" s="53"/>
      <c r="O17" s="53"/>
      <c r="P17" s="53"/>
      <c r="Q17" s="104"/>
      <c r="R17" s="104"/>
      <c r="S17" s="104"/>
      <c r="T17" s="54"/>
      <c r="U17" s="54"/>
      <c r="V17" s="64"/>
    </row>
    <row r="18" spans="2:22" ht="14.4" x14ac:dyDescent="0.3">
      <c r="C18" s="87" t="s">
        <v>22</v>
      </c>
      <c r="D18" s="88">
        <f>IF(D5&lt;D31,0,D17*D15)</f>
        <v>0</v>
      </c>
      <c r="E18" s="88">
        <f>IF(E5&lt;E31,0,E17*E15)</f>
        <v>0</v>
      </c>
      <c r="F18" s="88">
        <f>IF(F17&lt;F31,0,F17*F15)</f>
        <v>0</v>
      </c>
      <c r="G18" s="89">
        <f>IF(G17&lt;G31,0,G17*G15)</f>
        <v>0</v>
      </c>
      <c r="I18" s="159"/>
      <c r="J18" s="136" t="s">
        <v>8</v>
      </c>
      <c r="K18" s="138">
        <v>36034.06</v>
      </c>
      <c r="L18" s="138">
        <v>40755.980000000003</v>
      </c>
      <c r="M18" s="138">
        <v>51205.74</v>
      </c>
      <c r="N18" s="53"/>
      <c r="O18" s="53"/>
      <c r="P18" s="53"/>
      <c r="Q18" s="104"/>
      <c r="R18" s="104"/>
      <c r="S18" s="104"/>
      <c r="T18" s="54"/>
      <c r="U18" s="54"/>
      <c r="V18" s="64"/>
    </row>
    <row r="19" spans="2:22" ht="14.4" x14ac:dyDescent="0.3">
      <c r="D19" s="1"/>
      <c r="I19" s="159"/>
      <c r="J19" s="137" t="s">
        <v>7</v>
      </c>
      <c r="K19" s="161">
        <f>SUM(K14:M18)</f>
        <v>255651.04</v>
      </c>
      <c r="L19" s="161"/>
      <c r="M19" s="161"/>
      <c r="N19" s="155">
        <f>SUM(N14:P18)</f>
        <v>0</v>
      </c>
      <c r="O19" s="155"/>
      <c r="P19" s="155"/>
      <c r="Q19" s="149">
        <f>SUM(Q14:S18)</f>
        <v>0</v>
      </c>
      <c r="R19" s="149"/>
      <c r="S19" s="149"/>
      <c r="T19" s="151">
        <f>SUM(T14:V18)</f>
        <v>0</v>
      </c>
      <c r="U19" s="151"/>
      <c r="V19" s="152"/>
    </row>
    <row r="20" spans="2:22" ht="14.4" x14ac:dyDescent="0.3">
      <c r="C20" s="30" t="s">
        <v>23</v>
      </c>
      <c r="D20" s="4">
        <f>D18</f>
        <v>0</v>
      </c>
      <c r="E20" s="4">
        <f>E18</f>
        <v>0</v>
      </c>
      <c r="F20" s="4">
        <f t="shared" ref="F20:G20" si="6">F18</f>
        <v>0</v>
      </c>
      <c r="G20" s="5">
        <f t="shared" si="6"/>
        <v>0</v>
      </c>
      <c r="I20" s="159"/>
      <c r="J20" s="136" t="s">
        <v>15</v>
      </c>
      <c r="K20" s="138">
        <v>600543.84</v>
      </c>
      <c r="L20" s="138">
        <v>1844818.68</v>
      </c>
      <c r="M20" s="138">
        <v>2729457.76</v>
      </c>
      <c r="N20" s="53"/>
      <c r="O20" s="53"/>
      <c r="P20" s="53"/>
      <c r="Q20" s="104"/>
      <c r="R20" s="104"/>
      <c r="S20" s="104"/>
      <c r="T20" s="54"/>
      <c r="U20" s="54"/>
      <c r="V20" s="64"/>
    </row>
    <row r="21" spans="2:22" ht="14.4" x14ac:dyDescent="0.3">
      <c r="C21" s="31" t="s">
        <v>24</v>
      </c>
      <c r="D21" s="2"/>
      <c r="E21" s="2"/>
      <c r="F21" s="2"/>
      <c r="G21" s="3"/>
      <c r="I21" s="160"/>
      <c r="J21" s="135" t="s">
        <v>16</v>
      </c>
      <c r="K21" s="157">
        <f>SUM(K20:M20)</f>
        <v>5174820.2799999993</v>
      </c>
      <c r="L21" s="157"/>
      <c r="M21" s="157"/>
      <c r="N21" s="156">
        <f>SUM(N20:P20)</f>
        <v>0</v>
      </c>
      <c r="O21" s="156"/>
      <c r="P21" s="156"/>
      <c r="Q21" s="150">
        <f>SUM(Q20:S20)</f>
        <v>0</v>
      </c>
      <c r="R21" s="150"/>
      <c r="S21" s="150"/>
      <c r="T21" s="153">
        <f>SUM(T20:V20)</f>
        <v>0</v>
      </c>
      <c r="U21" s="153"/>
      <c r="V21" s="154"/>
    </row>
    <row r="22" spans="2:22" ht="14.4" x14ac:dyDescent="0.3">
      <c r="C22" s="32" t="s">
        <v>25</v>
      </c>
      <c r="D22" s="14">
        <f>SUM(D20:D21)</f>
        <v>0</v>
      </c>
      <c r="E22" s="14">
        <f>SUM(E20:E21)</f>
        <v>0</v>
      </c>
      <c r="F22" s="14">
        <f>SUM(F20:F21)</f>
        <v>0</v>
      </c>
      <c r="G22" s="15">
        <f>SUM(G20:G21)</f>
        <v>0</v>
      </c>
    </row>
    <row r="23" spans="2:22" ht="14.4" x14ac:dyDescent="0.3">
      <c r="D23" s="1"/>
      <c r="K23" s="130"/>
    </row>
    <row r="24" spans="2:22" ht="14.4" x14ac:dyDescent="0.3">
      <c r="B24" s="142" t="s">
        <v>26</v>
      </c>
      <c r="C24" s="42" t="s">
        <v>27</v>
      </c>
      <c r="D24" s="43"/>
      <c r="E24" s="43"/>
      <c r="F24" s="43"/>
      <c r="G24" s="44"/>
    </row>
    <row r="25" spans="2:22" ht="14.4" x14ac:dyDescent="0.3">
      <c r="B25" s="143"/>
      <c r="C25" s="45" t="s">
        <v>28</v>
      </c>
      <c r="D25" s="2"/>
      <c r="E25" s="2"/>
      <c r="F25" s="2"/>
      <c r="G25" s="46"/>
    </row>
    <row r="26" spans="2:22" ht="14.4" x14ac:dyDescent="0.3">
      <c r="B26" s="143"/>
      <c r="C26" s="45" t="s">
        <v>29</v>
      </c>
      <c r="D26" s="6">
        <f t="shared" ref="D26:F26" si="7">IFERROR(D25/D24,0)</f>
        <v>0</v>
      </c>
      <c r="E26" s="6">
        <f t="shared" si="7"/>
        <v>0</v>
      </c>
      <c r="F26" s="6">
        <f t="shared" si="7"/>
        <v>0</v>
      </c>
      <c r="G26" s="47">
        <f>IFERROR(G25/G24,0)</f>
        <v>0</v>
      </c>
      <c r="J26" s="51"/>
    </row>
    <row r="27" spans="2:22" ht="14.4" x14ac:dyDescent="0.3">
      <c r="B27" s="144"/>
      <c r="C27" s="48" t="s">
        <v>30</v>
      </c>
      <c r="D27" s="49" t="e">
        <f>IF(D26&lt;#REF!,0,D21*#REF!)</f>
        <v>#REF!</v>
      </c>
      <c r="E27" s="49" t="e">
        <f>IF(E26&lt;#REF!,0,E21*#REF!)</f>
        <v>#REF!</v>
      </c>
      <c r="F27" s="49" t="e">
        <f>IF(F26&lt;#REF!,0,F21*#REF!)</f>
        <v>#REF!</v>
      </c>
      <c r="G27" s="50" t="e">
        <f>IF(G26&lt;#REF!,0,G21*#REF!)</f>
        <v>#REF!</v>
      </c>
    </row>
    <row r="28" spans="2:22" ht="14.4" x14ac:dyDescent="0.3">
      <c r="D28" s="83"/>
      <c r="E28" s="83"/>
      <c r="F28" s="83"/>
      <c r="G28" s="37"/>
    </row>
    <row r="29" spans="2:22" ht="14.4" x14ac:dyDescent="0.3">
      <c r="D29" s="1"/>
    </row>
    <row r="30" spans="2:22" ht="14.4" x14ac:dyDescent="0.3">
      <c r="C30" s="33" t="s">
        <v>31</v>
      </c>
      <c r="D30" s="19" t="s">
        <v>0</v>
      </c>
      <c r="E30" s="19" t="s">
        <v>1</v>
      </c>
      <c r="F30" s="19" t="s">
        <v>2</v>
      </c>
      <c r="G30" s="19" t="s">
        <v>3</v>
      </c>
      <c r="H30" s="19"/>
      <c r="I30" s="19"/>
    </row>
    <row r="31" spans="2:22" ht="14.4" x14ac:dyDescent="0.3">
      <c r="C31" s="74" t="s">
        <v>32</v>
      </c>
      <c r="D31" s="75">
        <v>0.8</v>
      </c>
      <c r="E31" s="75">
        <v>0.8</v>
      </c>
      <c r="F31" s="75">
        <v>0.8</v>
      </c>
      <c r="G31" s="76">
        <v>0.8</v>
      </c>
      <c r="H31" s="34" t="s">
        <v>33</v>
      </c>
      <c r="I31" s="34"/>
    </row>
    <row r="32" spans="2:22" ht="14.4" x14ac:dyDescent="0.3">
      <c r="C32" s="77" t="s">
        <v>34</v>
      </c>
      <c r="D32" s="36">
        <v>0.9</v>
      </c>
      <c r="E32" s="36">
        <v>0.9</v>
      </c>
      <c r="F32" s="36">
        <v>0.9</v>
      </c>
      <c r="G32" s="78">
        <v>0.9</v>
      </c>
      <c r="H32" s="34" t="s">
        <v>35</v>
      </c>
      <c r="I32" s="34"/>
    </row>
    <row r="33" spans="3:9" ht="14.4" x14ac:dyDescent="0.3">
      <c r="C33" s="77" t="s">
        <v>36</v>
      </c>
      <c r="D33" s="36">
        <v>1</v>
      </c>
      <c r="E33" s="36">
        <v>1</v>
      </c>
      <c r="F33" s="36">
        <v>1</v>
      </c>
      <c r="G33" s="78">
        <v>1</v>
      </c>
      <c r="H33" s="34" t="s">
        <v>35</v>
      </c>
      <c r="I33" s="34"/>
    </row>
    <row r="34" spans="3:9" ht="14.4" x14ac:dyDescent="0.3">
      <c r="D34" s="1"/>
    </row>
  </sheetData>
  <sheetProtection formatCells="0" formatColumns="0" formatRows="0"/>
  <protectedRanges>
    <protectedRange sqref="K6:S7 N9:S9 K17:S18 N20:S20" name="Range1"/>
  </protectedRanges>
  <mergeCells count="20">
    <mergeCell ref="B3:B15"/>
    <mergeCell ref="B24:B27"/>
    <mergeCell ref="I2:I10"/>
    <mergeCell ref="I13:I21"/>
    <mergeCell ref="K19:M19"/>
    <mergeCell ref="K8:M8"/>
    <mergeCell ref="N8:P8"/>
    <mergeCell ref="N10:P10"/>
    <mergeCell ref="K10:M10"/>
    <mergeCell ref="K21:M21"/>
    <mergeCell ref="N21:P21"/>
    <mergeCell ref="N19:P19"/>
    <mergeCell ref="Q8:S8"/>
    <mergeCell ref="Q10:S10"/>
    <mergeCell ref="Q19:S19"/>
    <mergeCell ref="Q21:S21"/>
    <mergeCell ref="T8:V8"/>
    <mergeCell ref="T10:V10"/>
    <mergeCell ref="T19:V19"/>
    <mergeCell ref="T21:V21"/>
  </mergeCells>
  <dataValidations count="1">
    <dataValidation type="decimal" allowBlank="1" showInputMessage="1" showErrorMessage="1" sqref="D21:G21 D8:G9 D13:G13 D25:G25 D3:G4" xr:uid="{372E4913-117E-461F-9F68-5302A46A893B}">
      <formula1>0</formula1>
      <formula2>100000000</formula2>
    </dataValidation>
  </dataValidations>
  <pageMargins left="0.511811024" right="0.511811024" top="0.78740157499999996" bottom="0.78740157499999996" header="0.31496062000000002" footer="0.31496062000000002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Calculadora 2025 V1</vt:lpstr>
      <vt:lpstr>Calculadora V2</vt:lpstr>
      <vt:lpstr>Calculadora</vt:lpstr>
      <vt:lpstr>Calculadora 2025 V2</vt:lpstr>
      <vt:lpstr>Calculadora 2025 V2 (2)</vt:lpstr>
      <vt:lpstr>Calculadora 2025 V3</vt:lpstr>
      <vt:lpstr>Calculadora 2026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Higor Nocetti</dc:creator>
  <cp:keywords/>
  <dc:description/>
  <cp:lastModifiedBy>Higor Nocetti</cp:lastModifiedBy>
  <cp:revision/>
  <dcterms:created xsi:type="dcterms:W3CDTF">2024-04-05T18:19:24Z</dcterms:created>
  <dcterms:modified xsi:type="dcterms:W3CDTF">2026-07-16T14:37:41Z</dcterms:modified>
  <cp:category/>
  <cp:contentStatus/>
</cp:coreProperties>
</file>